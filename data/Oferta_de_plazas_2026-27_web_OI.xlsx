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hidePivotFieldList="1" defaultThemeVersion="124226"/>
  <mc:AlternateContent xmlns:mc="http://schemas.openxmlformats.org/markup-compatibility/2006">
    <mc:Choice Requires="x15">
      <x15ac:absPath xmlns:x15ac="http://schemas.microsoft.com/office/spreadsheetml/2010/11/ac" url="https://upm365-my.sharepoint.com/personal/relaciones_externas_etsit_upm_es/Documents/Aplicaciones/Outgoing/"/>
    </mc:Choice>
  </mc:AlternateContent>
  <xr:revisionPtr revIDLastSave="2360" documentId="11_D318BAC589ECF0ACFC280EBEE6E50D9FA34BFCE3" xr6:coauthVersionLast="47" xr6:coauthVersionMax="47" xr10:uidLastSave="{A881E6C2-A2F6-4A1E-8CC2-1B3820DF7002}"/>
  <bookViews>
    <workbookView xWindow="-120" yWindow="-120" windowWidth="29040" windowHeight="15720" tabRatio="540" xr2:uid="{00000000-000D-0000-FFFF-FFFF00000000}"/>
  </bookViews>
  <sheets>
    <sheet name="OfertaPlazas" sheetId="1" r:id="rId1"/>
    <sheet name="Cancelan movilidad" sheetId="10" r:id="rId2"/>
    <sheet name="Acuerdos no vigentes" sheetId="2" r:id="rId3"/>
    <sheet name="ENCUESTAS JUN-2021" sheetId="3" r:id="rId4"/>
    <sheet name="Respuestas" sheetId="9" r:id="rId5"/>
    <sheet name="TEAMS_30-09-2021" sheetId="7" r:id="rId6"/>
  </sheets>
  <definedNames>
    <definedName name="_xlnm._FilterDatabase" localSheetId="0" hidden="1">OfertaPlazas!$B$1:$BG$202</definedName>
    <definedName name="_xlnm._FilterDatabase" localSheetId="5" hidden="1">'TEAMS_30-09-2021'!$A$1:$AG$238</definedName>
    <definedName name="_xlnm.Print_Area" localSheetId="0">OfertaPlazas!$B$1:$F$192</definedName>
  </definedNames>
  <calcPr calcId="191028"/>
  <pivotCaches>
    <pivotCache cacheId="338"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94" i="1" l="1"/>
  <c r="AD61" i="1"/>
  <c r="AD44" i="1"/>
  <c r="AD42" i="1"/>
  <c r="AD31" i="1"/>
  <c r="AD60" i="1"/>
  <c r="AD130" i="1"/>
  <c r="AD69" i="1"/>
  <c r="AD188" i="1"/>
  <c r="AD189" i="1"/>
  <c r="AD84" i="1"/>
  <c r="AD70" i="1"/>
  <c r="AD73" i="1"/>
  <c r="AD82" i="1"/>
  <c r="AD71" i="1"/>
  <c r="AD72" i="1"/>
  <c r="AD75" i="1"/>
  <c r="AD74" i="1"/>
  <c r="AD78" i="1"/>
  <c r="AD80" i="1"/>
  <c r="AD77" i="1"/>
  <c r="AD83" i="1"/>
  <c r="AD81" i="1"/>
  <c r="AD76" i="1"/>
  <c r="AD79" i="1"/>
  <c r="AD132" i="1"/>
  <c r="AD133" i="1"/>
  <c r="AD172" i="1"/>
  <c r="AD85" i="1"/>
  <c r="AD138" i="1"/>
  <c r="AD190" i="1"/>
  <c r="AD173" i="1"/>
  <c r="AD174" i="1"/>
  <c r="AD137" i="1"/>
  <c r="AD151" i="1"/>
  <c r="AD162" i="1"/>
  <c r="AD159" i="1"/>
  <c r="AD176" i="1"/>
  <c r="AD88" i="1"/>
  <c r="AD87" i="1"/>
  <c r="AD86" i="1"/>
  <c r="AD175" i="1"/>
  <c r="AD178" i="1"/>
  <c r="AD177" i="1"/>
  <c r="AD95" i="1"/>
  <c r="AD102" i="1"/>
  <c r="AD97" i="1"/>
  <c r="AD99" i="1"/>
  <c r="AD96" i="1"/>
  <c r="AD94" i="1"/>
  <c r="AD101" i="1"/>
  <c r="AD100" i="1"/>
  <c r="AD191" i="1"/>
  <c r="AD89" i="1"/>
  <c r="AD98" i="1"/>
  <c r="AD91" i="1"/>
  <c r="AD90" i="1"/>
  <c r="AD192" i="1"/>
  <c r="AD93" i="1"/>
  <c r="AD92" i="1"/>
  <c r="AD179" i="1"/>
  <c r="AD108" i="1"/>
  <c r="AD110" i="1"/>
  <c r="AD103" i="1"/>
  <c r="AD104" i="1"/>
  <c r="AD106" i="1"/>
  <c r="AD105" i="1"/>
  <c r="AD112" i="1"/>
  <c r="AD107" i="1"/>
  <c r="AD109" i="1"/>
  <c r="AD111" i="1"/>
  <c r="AD113" i="1"/>
  <c r="AD118" i="1"/>
  <c r="AD119" i="1"/>
  <c r="AD120" i="1"/>
  <c r="AD123" i="1"/>
  <c r="AD122" i="1"/>
  <c r="AD121" i="1"/>
  <c r="AD143" i="1"/>
  <c r="AD125" i="1"/>
  <c r="AD124" i="1"/>
  <c r="AD136" i="1"/>
  <c r="AD139" i="1"/>
  <c r="AD135" i="1"/>
  <c r="AD193" i="1"/>
  <c r="AD51" i="1"/>
  <c r="AD52" i="1"/>
  <c r="AD58" i="1"/>
  <c r="AD39" i="1"/>
  <c r="AD47" i="1"/>
  <c r="AD64" i="1"/>
  <c r="AD35" i="1"/>
  <c r="AD57" i="1"/>
  <c r="AD140" i="1"/>
  <c r="AD141" i="1"/>
  <c r="AD142" i="1"/>
  <c r="AD134" i="1"/>
  <c r="AD3" i="1"/>
  <c r="AD4" i="1"/>
  <c r="AD2" i="1"/>
  <c r="AD5" i="1"/>
  <c r="AD145" i="1"/>
  <c r="AD8" i="1"/>
  <c r="AD10" i="1"/>
  <c r="AD9" i="1"/>
  <c r="AD6" i="1"/>
  <c r="AD7" i="1"/>
  <c r="AD11" i="1"/>
  <c r="AD12" i="1"/>
  <c r="AD181" i="1"/>
  <c r="AD146" i="1"/>
  <c r="AD126" i="1"/>
  <c r="AD127" i="1"/>
  <c r="AD129" i="1"/>
  <c r="AD131" i="1"/>
  <c r="AD144" i="1"/>
  <c r="AD147" i="1"/>
  <c r="AD128" i="1"/>
  <c r="AD14" i="1"/>
  <c r="AD13" i="1"/>
  <c r="AD15" i="1"/>
  <c r="AD148" i="1"/>
  <c r="AD152" i="1"/>
  <c r="AD157" i="1"/>
  <c r="AD156" i="1"/>
  <c r="AD158" i="1"/>
  <c r="AD153" i="1"/>
  <c r="AD154" i="1"/>
  <c r="AD155" i="1"/>
  <c r="AD160" i="1"/>
  <c r="AD182" i="1"/>
  <c r="AD149" i="1"/>
  <c r="AD150" i="1"/>
  <c r="AD161" i="1"/>
  <c r="AD16" i="1"/>
  <c r="AD22" i="1"/>
  <c r="AD23" i="1"/>
  <c r="AD25" i="1"/>
  <c r="AD19" i="1"/>
  <c r="AD17" i="1"/>
  <c r="AD18" i="1"/>
  <c r="AD20" i="1"/>
  <c r="AD21" i="1"/>
  <c r="AD26" i="1"/>
  <c r="AD27" i="1"/>
  <c r="AD24" i="1"/>
  <c r="AD28" i="1"/>
  <c r="AD29" i="1"/>
  <c r="AD30" i="1"/>
  <c r="AD185" i="1"/>
  <c r="AD163" i="1"/>
  <c r="AD164" i="1"/>
  <c r="AD171" i="1"/>
  <c r="AD165" i="1"/>
  <c r="AD166" i="1"/>
  <c r="AD167" i="1"/>
  <c r="AD168" i="1"/>
  <c r="AD169" i="1"/>
  <c r="AD170" i="1"/>
  <c r="AD183" i="1"/>
  <c r="AD186" i="1"/>
  <c r="AD184" i="1"/>
  <c r="AD114" i="1"/>
  <c r="AD115" i="1"/>
  <c r="AD117" i="1"/>
  <c r="AD116" i="1"/>
  <c r="AD45" i="1"/>
  <c r="AD48" i="1"/>
  <c r="AD50" i="1"/>
  <c r="AD53" i="1"/>
  <c r="AD40" i="1"/>
  <c r="AD59" i="1"/>
  <c r="AD34" i="1"/>
  <c r="AD62" i="1"/>
  <c r="AD38" i="1"/>
  <c r="AD36" i="1"/>
  <c r="AD32" i="1"/>
  <c r="AD33" i="1"/>
  <c r="AD65" i="1"/>
  <c r="AD56" i="1"/>
  <c r="AD37" i="1"/>
  <c r="AD43" i="1"/>
  <c r="AD54" i="1"/>
  <c r="AD46" i="1"/>
  <c r="AD41" i="1"/>
  <c r="AD66" i="1"/>
  <c r="AD67" i="1"/>
  <c r="AD68" i="1"/>
  <c r="AD187" i="1"/>
  <c r="AD49" i="1"/>
  <c r="AD55" i="1"/>
  <c r="AD63" i="1"/>
  <c r="AD180" i="1"/>
  <c r="BE2" i="1"/>
  <c r="BF2" i="1"/>
  <c r="BG2" i="1"/>
  <c r="BE5" i="1"/>
  <c r="BF5" i="1"/>
  <c r="BG5" i="1"/>
  <c r="BE6" i="1"/>
  <c r="BF6" i="1"/>
  <c r="BG6" i="1"/>
  <c r="BE7" i="1"/>
  <c r="BF7" i="1"/>
  <c r="BG7" i="1"/>
  <c r="BE8" i="1"/>
  <c r="BF8" i="1"/>
  <c r="BG8" i="1"/>
  <c r="BE9" i="1"/>
  <c r="BF9" i="1"/>
  <c r="BG9" i="1"/>
  <c r="BE10" i="1"/>
  <c r="BF10" i="1"/>
  <c r="BG10" i="1"/>
  <c r="BE11" i="1"/>
  <c r="BF11" i="1"/>
  <c r="BG11" i="1"/>
  <c r="BE12" i="1"/>
  <c r="BF12" i="1"/>
  <c r="BG12" i="1"/>
  <c r="BF13" i="1"/>
  <c r="BF14" i="1"/>
  <c r="BF15" i="1"/>
  <c r="BE16" i="1"/>
  <c r="BF16" i="1"/>
  <c r="BG16" i="1"/>
  <c r="BE17" i="1"/>
  <c r="BF17" i="1"/>
  <c r="BG17" i="1"/>
  <c r="BE18" i="1"/>
  <c r="BF18" i="1"/>
  <c r="BG18" i="1"/>
  <c r="BE19" i="1"/>
  <c r="BF19" i="1"/>
  <c r="BG19" i="1"/>
  <c r="BE20" i="1"/>
  <c r="BF20" i="1"/>
  <c r="BG20" i="1"/>
  <c r="BE21" i="1"/>
  <c r="BF21" i="1"/>
  <c r="BG21" i="1"/>
  <c r="BE22" i="1"/>
  <c r="BF22" i="1"/>
  <c r="BG22" i="1"/>
  <c r="BE23" i="1"/>
  <c r="BF23" i="1"/>
  <c r="BG23" i="1"/>
  <c r="BE24" i="1"/>
  <c r="BF24" i="1"/>
  <c r="BG24" i="1"/>
  <c r="BE25" i="1"/>
  <c r="BF25" i="1"/>
  <c r="BG25" i="1"/>
  <c r="BE26" i="1"/>
  <c r="BF26" i="1"/>
  <c r="BG26" i="1"/>
  <c r="BE27" i="1"/>
  <c r="BF27" i="1"/>
  <c r="BG27" i="1"/>
  <c r="BE28" i="1"/>
  <c r="BF28" i="1"/>
  <c r="BG28" i="1"/>
  <c r="BE29" i="1"/>
  <c r="BF29" i="1"/>
  <c r="BG29" i="1"/>
  <c r="BE30" i="1"/>
  <c r="BF30" i="1"/>
  <c r="BG30" i="1"/>
  <c r="BE31" i="1"/>
  <c r="BF31" i="1"/>
  <c r="BG31" i="1"/>
  <c r="BE33" i="1"/>
  <c r="BF33" i="1"/>
  <c r="BG33" i="1"/>
  <c r="BE34" i="1"/>
  <c r="BF34" i="1"/>
  <c r="BG34" i="1"/>
  <c r="BE54" i="1"/>
  <c r="BF54" i="1"/>
  <c r="BG54" i="1"/>
  <c r="BE36" i="1"/>
  <c r="BF36" i="1"/>
  <c r="BG36" i="1"/>
  <c r="BE38" i="1"/>
  <c r="BF38" i="1"/>
  <c r="BG38" i="1"/>
  <c r="BE39" i="1"/>
  <c r="BF39" i="1"/>
  <c r="BG39" i="1"/>
  <c r="BE41" i="1"/>
  <c r="BF41" i="1"/>
  <c r="BG41" i="1"/>
  <c r="BE42" i="1"/>
  <c r="BF42" i="1"/>
  <c r="BG42" i="1"/>
  <c r="BE44" i="1"/>
  <c r="BF44" i="1"/>
  <c r="BG44" i="1"/>
  <c r="BF45" i="1"/>
  <c r="BG45" i="1"/>
  <c r="BE46" i="1"/>
  <c r="BF46" i="1"/>
  <c r="BG46" i="1"/>
  <c r="BE49" i="1"/>
  <c r="BF49" i="1"/>
  <c r="BG49" i="1"/>
  <c r="BE51" i="1"/>
  <c r="BF51" i="1"/>
  <c r="BG51" i="1"/>
  <c r="BE52" i="1"/>
  <c r="BF52" i="1"/>
  <c r="BG52" i="1"/>
  <c r="BE53" i="1"/>
  <c r="BF53" i="1"/>
  <c r="BG53" i="1"/>
  <c r="BE55" i="1"/>
  <c r="BF55" i="1"/>
  <c r="BG55" i="1"/>
  <c r="BE32" i="1"/>
  <c r="BF32" i="1"/>
  <c r="BG32" i="1"/>
  <c r="BE43" i="1"/>
  <c r="BF43" i="1"/>
  <c r="BG43" i="1"/>
  <c r="BE56" i="1"/>
  <c r="BF56" i="1"/>
  <c r="BG56" i="1"/>
  <c r="BE57" i="1"/>
  <c r="BF57" i="1"/>
  <c r="BG57" i="1"/>
  <c r="BE58" i="1"/>
  <c r="BF58" i="1"/>
  <c r="BG58" i="1"/>
  <c r="BE60" i="1"/>
  <c r="BF60" i="1"/>
  <c r="BG60" i="1"/>
  <c r="BE40" i="1"/>
  <c r="BF40" i="1"/>
  <c r="BG40" i="1"/>
  <c r="BE62" i="1"/>
  <c r="BF62" i="1"/>
  <c r="BG62" i="1"/>
  <c r="BE63" i="1"/>
  <c r="BF63" i="1"/>
  <c r="BG63" i="1"/>
  <c r="BE64" i="1"/>
  <c r="BF64" i="1"/>
  <c r="BG64" i="1"/>
  <c r="BE65" i="1"/>
  <c r="BF65" i="1"/>
  <c r="BG65" i="1"/>
  <c r="BE66" i="1"/>
  <c r="BF66" i="1"/>
  <c r="BG66" i="1"/>
  <c r="BE67" i="1"/>
  <c r="BF67" i="1"/>
  <c r="BG67" i="1"/>
  <c r="BE69" i="1"/>
  <c r="BF69" i="1"/>
  <c r="BG69" i="1"/>
  <c r="BE70" i="1"/>
  <c r="BF70" i="1"/>
  <c r="BG70" i="1"/>
  <c r="BE72" i="1"/>
  <c r="BF72" i="1"/>
  <c r="BG72" i="1"/>
  <c r="BE73" i="1"/>
  <c r="BF73" i="1"/>
  <c r="BG73" i="1"/>
  <c r="BE74" i="1"/>
  <c r="BF74" i="1"/>
  <c r="BG74" i="1"/>
  <c r="BE75" i="1"/>
  <c r="BF75" i="1"/>
  <c r="BG75" i="1"/>
  <c r="BE78" i="1"/>
  <c r="BF78" i="1"/>
  <c r="BG78" i="1"/>
  <c r="BE80" i="1"/>
  <c r="BF80" i="1"/>
  <c r="BG80" i="1"/>
  <c r="BE76" i="1"/>
  <c r="BF76" i="1"/>
  <c r="BG76" i="1"/>
  <c r="BE83" i="1"/>
  <c r="BF83" i="1"/>
  <c r="BG83" i="1"/>
  <c r="BE84" i="1"/>
  <c r="BF84" i="1"/>
  <c r="BG84" i="1"/>
  <c r="BE85" i="1"/>
  <c r="BF85" i="1"/>
  <c r="BG85" i="1"/>
  <c r="BE86" i="1"/>
  <c r="BF86" i="1"/>
  <c r="BG86" i="1"/>
  <c r="BE87" i="1"/>
  <c r="BF87" i="1"/>
  <c r="BG87" i="1"/>
  <c r="BE88" i="1"/>
  <c r="BF88" i="1"/>
  <c r="BG88" i="1"/>
  <c r="BE89" i="1"/>
  <c r="BF89" i="1"/>
  <c r="BG89" i="1"/>
  <c r="BE90" i="1"/>
  <c r="BF90" i="1"/>
  <c r="BG90" i="1"/>
  <c r="BE91" i="1"/>
  <c r="BF91" i="1"/>
  <c r="BG91" i="1"/>
  <c r="BE92" i="1"/>
  <c r="BF92" i="1"/>
  <c r="BG92" i="1"/>
  <c r="BF93" i="1"/>
  <c r="BE98" i="1"/>
  <c r="BF98" i="1"/>
  <c r="BG98" i="1"/>
  <c r="BE94" i="1"/>
  <c r="BF94" i="1"/>
  <c r="BG94" i="1"/>
  <c r="BE95" i="1"/>
  <c r="BF95" i="1"/>
  <c r="BG95" i="1"/>
  <c r="BE96" i="1"/>
  <c r="BF96" i="1"/>
  <c r="BG96" i="1"/>
  <c r="BE97" i="1"/>
  <c r="BF97" i="1"/>
  <c r="BG97" i="1"/>
  <c r="BE100" i="1"/>
  <c r="BF100" i="1"/>
  <c r="BG100" i="1"/>
  <c r="BE101" i="1"/>
  <c r="BF101" i="1"/>
  <c r="BG101" i="1"/>
  <c r="BE102" i="1"/>
  <c r="BF102" i="1"/>
  <c r="BG102" i="1"/>
  <c r="BE108" i="1"/>
  <c r="BF108" i="1"/>
  <c r="BG108" i="1"/>
  <c r="BE103" i="1"/>
  <c r="BF103" i="1"/>
  <c r="BG103" i="1"/>
  <c r="BE105" i="1"/>
  <c r="BF105" i="1"/>
  <c r="BG105" i="1"/>
  <c r="BE106" i="1"/>
  <c r="BF106" i="1"/>
  <c r="BG106" i="1"/>
  <c r="BE107" i="1"/>
  <c r="BF107" i="1"/>
  <c r="BG107" i="1"/>
  <c r="BE109" i="1"/>
  <c r="BF109" i="1"/>
  <c r="BG109" i="1"/>
  <c r="BE111" i="1"/>
  <c r="BF111" i="1"/>
  <c r="BG111" i="1"/>
  <c r="BE112" i="1"/>
  <c r="BF112" i="1"/>
  <c r="BG112" i="1"/>
  <c r="BE113" i="1"/>
  <c r="BF113" i="1"/>
  <c r="BG113" i="1"/>
  <c r="BE114" i="1"/>
  <c r="BF114" i="1"/>
  <c r="BG114" i="1"/>
  <c r="BE115" i="1"/>
  <c r="BF115" i="1"/>
  <c r="BG115" i="1"/>
  <c r="BE116" i="1"/>
  <c r="BF116" i="1"/>
  <c r="BG116" i="1"/>
  <c r="BE117" i="1"/>
  <c r="BF117" i="1"/>
  <c r="BG117" i="1"/>
  <c r="BE118" i="1"/>
  <c r="BF118" i="1"/>
  <c r="BG118" i="1"/>
  <c r="BE120" i="1"/>
  <c r="BF120" i="1"/>
  <c r="BG120" i="1"/>
  <c r="BE121" i="1"/>
  <c r="BF121" i="1"/>
  <c r="BG121" i="1"/>
  <c r="BE122" i="1"/>
  <c r="BF122" i="1"/>
  <c r="BG122" i="1"/>
  <c r="BE123" i="1"/>
  <c r="BF123" i="1"/>
  <c r="BG123" i="1"/>
  <c r="BF124" i="1"/>
  <c r="BE125" i="1"/>
  <c r="BF125" i="1"/>
  <c r="BG125" i="1"/>
  <c r="BG18" i="2"/>
  <c r="BB18" i="2"/>
  <c r="BA18" i="2"/>
  <c r="AZ18" i="2"/>
  <c r="BG17" i="2"/>
  <c r="BB17" i="2"/>
  <c r="BA17" i="2"/>
  <c r="AZ17" i="2"/>
  <c r="BG16" i="2"/>
  <c r="BL98" i="1"/>
  <c r="BL81" i="1" l="1"/>
  <c r="BG13" i="2" l="1"/>
  <c r="BG10" i="2"/>
  <c r="BL80" i="1" l="1"/>
  <c r="BL242" i="1"/>
  <c r="BL222" i="1"/>
  <c r="BL186" i="1"/>
  <c r="BL185" i="1"/>
  <c r="BL184" i="1"/>
  <c r="BL182" i="1"/>
  <c r="BL181" i="1"/>
  <c r="BL180" i="1"/>
  <c r="BL179" i="1"/>
  <c r="BL177" i="1"/>
  <c r="BL176" i="1"/>
  <c r="BL175" i="1"/>
  <c r="BL174" i="1"/>
  <c r="BL173" i="1"/>
  <c r="BL172" i="1"/>
  <c r="BL171" i="1"/>
  <c r="BL170" i="1"/>
  <c r="BL169" i="1"/>
  <c r="BL167" i="1"/>
  <c r="BL166" i="1"/>
  <c r="BL165" i="1"/>
  <c r="BL163" i="1"/>
  <c r="BL162" i="1"/>
  <c r="BL161" i="1"/>
  <c r="BL160" i="1"/>
  <c r="BL159" i="1"/>
  <c r="BL158" i="1"/>
  <c r="BL157" i="1"/>
  <c r="BL156" i="1"/>
  <c r="BL155" i="1"/>
  <c r="BL154" i="1"/>
  <c r="BL153" i="1"/>
  <c r="BL152" i="1"/>
  <c r="BL151" i="1"/>
  <c r="BL147" i="1"/>
  <c r="BL145" i="1"/>
  <c r="BL134" i="1"/>
  <c r="BL130" i="1"/>
  <c r="BL129" i="1"/>
  <c r="BL128" i="1"/>
  <c r="BL127" i="1"/>
  <c r="BL126" i="1"/>
  <c r="BL125" i="1"/>
  <c r="BL124" i="1"/>
  <c r="BL123" i="1"/>
  <c r="BL122" i="1"/>
  <c r="BL121" i="1"/>
  <c r="BL120" i="1"/>
  <c r="BL119" i="1"/>
  <c r="BL118" i="1"/>
  <c r="BL117" i="1"/>
  <c r="BL115" i="1"/>
  <c r="BL114" i="1"/>
  <c r="BL113" i="1"/>
  <c r="BL112" i="1"/>
  <c r="BL111" i="1"/>
  <c r="BL110" i="1"/>
  <c r="BL109" i="1"/>
  <c r="BL108" i="1"/>
  <c r="BL107" i="1"/>
  <c r="BL106" i="1"/>
  <c r="BL105" i="1"/>
  <c r="BL104" i="1"/>
  <c r="BL103" i="1"/>
  <c r="BL102" i="1"/>
  <c r="BL101" i="1"/>
  <c r="BL100" i="1"/>
  <c r="BL99" i="1"/>
  <c r="BL97" i="1"/>
  <c r="BL96" i="1"/>
  <c r="BL95" i="1"/>
  <c r="BL94" i="1"/>
  <c r="BL93" i="1"/>
  <c r="BL92" i="1"/>
  <c r="BL91" i="1"/>
  <c r="BL90" i="1"/>
  <c r="BL89" i="1"/>
  <c r="BL88" i="1"/>
  <c r="BL87" i="1"/>
  <c r="BL86" i="1"/>
  <c r="BL85" i="1"/>
  <c r="BL84" i="1"/>
  <c r="BL83" i="1"/>
  <c r="BL82" i="1"/>
  <c r="BL79" i="1"/>
  <c r="BL78" i="1"/>
  <c r="BL77" i="1"/>
  <c r="BL76" i="1"/>
  <c r="BL75" i="1"/>
  <c r="BL74" i="1"/>
  <c r="BL73" i="1"/>
  <c r="BL70" i="1"/>
  <c r="BL69" i="1"/>
  <c r="BL68" i="1"/>
  <c r="BL56" i="1"/>
  <c r="BL55" i="1"/>
  <c r="BL54" i="1"/>
  <c r="BL53" i="1"/>
  <c r="BL52" i="1"/>
  <c r="BL51" i="1"/>
  <c r="BL50" i="1"/>
  <c r="BL49" i="1"/>
  <c r="BL48" i="1"/>
  <c r="BL47" i="1"/>
  <c r="BL46" i="1"/>
  <c r="BL45" i="1"/>
  <c r="BL44" i="1"/>
  <c r="BL43" i="1"/>
  <c r="BL29" i="1"/>
  <c r="BL28" i="1"/>
  <c r="BL27" i="1"/>
  <c r="BL17" i="1"/>
  <c r="BL16" i="1"/>
  <c r="BL15" i="1"/>
  <c r="BL14" i="1"/>
  <c r="BL13" i="1"/>
  <c r="BL12" i="1"/>
  <c r="BL11" i="1"/>
  <c r="BL9" i="1"/>
  <c r="BL8" i="1"/>
  <c r="BL7" i="1"/>
  <c r="BL6" i="1"/>
  <c r="BB4" i="10"/>
  <c r="AZ4" i="10"/>
  <c r="BB3" i="10"/>
  <c r="BA3" i="10"/>
  <c r="AZ3" i="10"/>
  <c r="E140" i="7"/>
  <c r="E194" i="7"/>
  <c r="E180" i="7"/>
  <c r="E154" i="7"/>
  <c r="E110" i="7"/>
  <c r="E73" i="7"/>
  <c r="E51" i="7"/>
  <c r="E22" i="7"/>
  <c r="E233" i="7"/>
  <c r="E231" i="7"/>
  <c r="E229" i="7"/>
  <c r="E227" i="7"/>
  <c r="E225" i="7"/>
  <c r="E223" i="7"/>
  <c r="E221" i="7"/>
  <c r="E219" i="7"/>
  <c r="E217" i="7"/>
  <c r="E215" i="7"/>
  <c r="E213" i="7"/>
  <c r="E207" i="7"/>
  <c r="E205" i="7"/>
  <c r="E203" i="7"/>
  <c r="E201" i="7"/>
  <c r="E199" i="7"/>
  <c r="E197" i="7"/>
  <c r="E192" i="7"/>
  <c r="E190" i="7"/>
  <c r="E188" i="7"/>
  <c r="E186" i="7"/>
  <c r="E183" i="7"/>
  <c r="E178" i="7"/>
  <c r="E176" i="7"/>
  <c r="E174" i="7"/>
  <c r="E172" i="7"/>
  <c r="E170" i="7"/>
  <c r="E168" i="7"/>
  <c r="E166" i="7"/>
  <c r="E164" i="7"/>
  <c r="E162" i="7"/>
  <c r="E157" i="7"/>
  <c r="E152" i="7"/>
  <c r="E150" i="7"/>
  <c r="E148" i="7"/>
  <c r="E146" i="7"/>
  <c r="E144" i="7"/>
  <c r="E138" i="7"/>
  <c r="E136" i="7"/>
  <c r="E134" i="7"/>
  <c r="E129" i="7"/>
  <c r="E125" i="7"/>
  <c r="E123" i="7"/>
  <c r="E121" i="7"/>
  <c r="E119" i="7"/>
  <c r="E117" i="7"/>
  <c r="E115" i="7"/>
  <c r="E113" i="7"/>
  <c r="E108" i="7"/>
  <c r="E106" i="7"/>
  <c r="E104" i="7"/>
  <c r="E102" i="7"/>
  <c r="E100" i="7"/>
  <c r="E98" i="7"/>
  <c r="E96" i="7"/>
  <c r="E94" i="7"/>
  <c r="E92" i="7"/>
  <c r="E90" i="7"/>
  <c r="E88" i="7"/>
  <c r="E86" i="7"/>
  <c r="E84" i="7"/>
  <c r="E82" i="7"/>
  <c r="E80" i="7"/>
  <c r="E2" i="7"/>
  <c r="E78" i="7"/>
  <c r="E76" i="7"/>
  <c r="E71" i="7"/>
  <c r="E69" i="7"/>
  <c r="E67" i="7"/>
  <c r="E65" i="7"/>
  <c r="E63" i="7"/>
  <c r="E61" i="7"/>
  <c r="E59" i="7"/>
  <c r="E57" i="7"/>
  <c r="E55" i="7"/>
  <c r="E49" i="7"/>
  <c r="E47" i="7"/>
  <c r="E45" i="7"/>
  <c r="E43" i="7"/>
  <c r="E41" i="7"/>
  <c r="E38" i="7"/>
  <c r="E35" i="7"/>
  <c r="E33" i="7"/>
  <c r="E31" i="7"/>
  <c r="E29" i="7"/>
  <c r="E27" i="7"/>
  <c r="E25" i="7"/>
  <c r="E20" i="7"/>
  <c r="E18" i="7"/>
  <c r="E16" i="7"/>
  <c r="E14" i="7"/>
  <c r="E12" i="7"/>
  <c r="E10" i="7"/>
  <c r="E8" i="7"/>
  <c r="E6" i="7"/>
  <c r="E4" i="7"/>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tempint</author>
  </authors>
  <commentList>
    <comment ref="C15" authorId="0" shapeId="0" xr:uid="{00000000-0006-0000-0000-000001000000}">
      <text>
        <r>
          <rPr>
            <b/>
            <sz val="9"/>
            <color indexed="81"/>
            <rFont val="Tahoma"/>
            <family val="2"/>
          </rPr>
          <t>tempint:</t>
        </r>
        <r>
          <rPr>
            <sz val="9"/>
            <color indexed="81"/>
            <rFont val="Tahoma"/>
            <family val="2"/>
          </rPr>
          <t xml:space="preserve">
El código Erasmus no se corresponde con los que aparecen en MoveOn:
</t>
        </r>
        <r>
          <rPr>
            <b/>
            <sz val="9"/>
            <color indexed="81"/>
            <rFont val="Tahoma"/>
            <family val="2"/>
          </rPr>
          <t>- CHZURICH04
- CHZURICH19</t>
        </r>
      </text>
    </comment>
  </commentList>
</comments>
</file>

<file path=xl/sharedStrings.xml><?xml version="1.0" encoding="utf-8"?>
<sst xmlns="http://schemas.openxmlformats.org/spreadsheetml/2006/main" count="11877" uniqueCount="2500">
  <si>
    <t>Columna1</t>
  </si>
  <si>
    <t>UNIVERSIDAD</t>
  </si>
  <si>
    <t>UNIVERSIDAD (denominación en MoveOn)</t>
  </si>
  <si>
    <t>CIUDAD</t>
  </si>
  <si>
    <t>CÓDIGO ERASMUS</t>
  </si>
  <si>
    <t>PAÍS</t>
  </si>
  <si>
    <t>Universidades con DT (duración DT)</t>
  </si>
  <si>
    <t>Deadline 1
FALL SEMESTER</t>
  </si>
  <si>
    <t>Deadline 1S NOMINACIÓN (OI)</t>
  </si>
  <si>
    <t>Deadline 1S APLICACIÓN (alumno)</t>
  </si>
  <si>
    <t>Deadline 2
SPRING SEMESTER</t>
  </si>
  <si>
    <t>Deadline 2S NOMINACIÓN (OI)</t>
  </si>
  <si>
    <t>Deadline 2S APLICACIÓN (alumno)</t>
  </si>
  <si>
    <t>PROGRAMA</t>
  </si>
  <si>
    <r>
      <rPr>
        <b/>
        <sz val="9"/>
        <color rgb="FFFFFFFF"/>
        <rFont val="Arial"/>
        <family val="2"/>
      </rPr>
      <t xml:space="preserve">Code SECD:
</t>
    </r>
    <r>
      <rPr>
        <b/>
        <u/>
        <sz val="9"/>
        <color rgb="FFFFFFFF"/>
        <rFont val="Arial"/>
        <family val="2"/>
      </rPr>
      <t xml:space="preserve">713-Electrical Engineering </t>
    </r>
    <r>
      <rPr>
        <sz val="9"/>
        <color rgb="FFFFFFFF"/>
        <rFont val="Arial"/>
        <family val="2"/>
      </rPr>
      <t>(Electricity and Energy)</t>
    </r>
  </si>
  <si>
    <r>
      <t xml:space="preserve">Code SECD:
</t>
    </r>
    <r>
      <rPr>
        <b/>
        <u/>
        <sz val="9"/>
        <color indexed="9"/>
        <rFont val="Arial"/>
        <family val="2"/>
      </rPr>
      <t xml:space="preserve">714-Electrical Engineering </t>
    </r>
    <r>
      <rPr>
        <sz val="9"/>
        <color indexed="9"/>
        <rFont val="Arial"/>
        <family val="2"/>
      </rPr>
      <t>(Electronics and Automation)</t>
    </r>
  </si>
  <si>
    <r>
      <t xml:space="preserve">Code SECD:
</t>
    </r>
    <r>
      <rPr>
        <b/>
        <u/>
        <sz val="9"/>
        <color indexed="9"/>
        <rFont val="Arial"/>
        <family val="2"/>
      </rPr>
      <t>061-Computer Science</t>
    </r>
    <r>
      <rPr>
        <sz val="9"/>
        <color indexed="9"/>
        <rFont val="Arial"/>
        <family val="2"/>
      </rPr>
      <t xml:space="preserve"> (Information and Communication Technologies)</t>
    </r>
  </si>
  <si>
    <r>
      <t xml:space="preserve">Code SECD:
</t>
    </r>
    <r>
      <rPr>
        <b/>
        <u/>
        <sz val="9"/>
        <color indexed="9"/>
        <rFont val="Arial"/>
        <family val="2"/>
      </rPr>
      <t>914-Biomedical Engineering</t>
    </r>
    <r>
      <rPr>
        <sz val="9"/>
        <color indexed="9"/>
        <rFont val="Arial"/>
        <family val="2"/>
      </rPr>
      <t xml:space="preserve"> (Medical Diagnostic and Treatment Technology)</t>
    </r>
  </si>
  <si>
    <t>Area de Estudios</t>
  </si>
  <si>
    <t>Posibilidad de beca?</t>
  </si>
  <si>
    <t>PLAZAS</t>
  </si>
  <si>
    <t>MES</t>
  </si>
  <si>
    <t>E-mail contacto</t>
  </si>
  <si>
    <t>Persona de contacto</t>
  </si>
  <si>
    <t>GRADOS</t>
  </si>
  <si>
    <t>GITST</t>
  </si>
  <si>
    <t>GIB</t>
  </si>
  <si>
    <t>GISD</t>
  </si>
  <si>
    <t>MASTER</t>
  </si>
  <si>
    <t>TITULACIÓN</t>
  </si>
  <si>
    <t>S5</t>
  </si>
  <si>
    <t>S6</t>
  </si>
  <si>
    <t>C3</t>
  </si>
  <si>
    <t>S7</t>
  </si>
  <si>
    <t>S8</t>
  </si>
  <si>
    <t>S7+T</t>
  </si>
  <si>
    <t>S8+T</t>
  </si>
  <si>
    <t>C4º</t>
  </si>
  <si>
    <t>C4º+T</t>
  </si>
  <si>
    <t>T</t>
  </si>
  <si>
    <t>MS2ºAÑO (UN SEMESTRE)</t>
  </si>
  <si>
    <t>MS2ºAÑO+TFM</t>
  </si>
  <si>
    <t>TFM</t>
  </si>
  <si>
    <t>DT(MASTER)</t>
  </si>
  <si>
    <t>CERT</t>
  </si>
  <si>
    <t>OBSERVACIONES IDIOMAS</t>
  </si>
  <si>
    <t>OBSERVACIONES</t>
  </si>
  <si>
    <t>OBSERVACIONES2</t>
  </si>
  <si>
    <t>ToR verificable</t>
  </si>
  <si>
    <t>GICO_CODE</t>
  </si>
  <si>
    <t>Acuerdo desde la Universidad de origen</t>
  </si>
  <si>
    <t>Areas de estudios</t>
  </si>
  <si>
    <t>Departamento Uni de destino</t>
  </si>
  <si>
    <t>Contact</t>
  </si>
  <si>
    <t>Acuerdo desde la ETSIT-UPM</t>
  </si>
  <si>
    <t>Observaciones3</t>
  </si>
  <si>
    <t>OBSERVACIONES (archivo Teams)</t>
  </si>
  <si>
    <t>Universidades que contestaron la encuesta</t>
  </si>
  <si>
    <r>
      <t xml:space="preserve">UNIVERSIDADES QUE </t>
    </r>
    <r>
      <rPr>
        <b/>
        <u/>
        <sz val="10"/>
        <rFont val="Arial"/>
        <family val="2"/>
      </rPr>
      <t>NO ESTÁN EN TEAMS</t>
    </r>
  </si>
  <si>
    <t>Technische Universität Graz</t>
  </si>
  <si>
    <t>Graz</t>
  </si>
  <si>
    <t>A  GRAZ02</t>
  </si>
  <si>
    <t>AT</t>
  </si>
  <si>
    <t>10 de abril (nomination) -17 de abril (application)</t>
  </si>
  <si>
    <t>04.10</t>
  </si>
  <si>
    <t>04.17</t>
  </si>
  <si>
    <t>16 de octubre (nomination) - 1 de noviembre (application)</t>
  </si>
  <si>
    <t>10.16</t>
  </si>
  <si>
    <t>11.01</t>
  </si>
  <si>
    <t>ER</t>
  </si>
  <si>
    <t>SÍ</t>
  </si>
  <si>
    <t>Computer Science (Information and CommunicationTechnologies) / Biomedical Engineering (Medical Diagnostic and Treatment Technology)</t>
  </si>
  <si>
    <t>Sí</t>
  </si>
  <si>
    <t xml:space="preserve">erasmus.incoming@tugraz.at </t>
  </si>
  <si>
    <t>Kerry John (she/her)</t>
  </si>
  <si>
    <t>SI</t>
  </si>
  <si>
    <t>NO</t>
  </si>
  <si>
    <t>ALEMÁN B2 o INGLÉS B2</t>
  </si>
  <si>
    <t>INGLÉS B2 (TOEFL 75, IELTS 6.0, TOEIC (785 listening and reading - 310 speaking and writing), Cambridge ESOL First Certificate in English (FCE) OR Certificate in Advanced English (CAE) OR Certificate of Proficiency in English (CPE) or Certificate issued by the language centre of a University</t>
  </si>
  <si>
    <t xml:space="preserve">Sólo se puede hacerse el TFG/TFM si un profesor acepta al alumno. El área de estudios para alumnos de GITST y MUIT es computer science. </t>
  </si>
  <si>
    <t>se puede desdoblar nº de meses</t>
  </si>
  <si>
    <t>Departamental</t>
  </si>
  <si>
    <t>Computer Science y Biomedical Engineering</t>
  </si>
  <si>
    <t>Computer Science</t>
  </si>
  <si>
    <t>ETSIT</t>
  </si>
  <si>
    <t>FH Joanneum</t>
  </si>
  <si>
    <t xml:space="preserve">	FH JOANNEUM - University of Applied Sciences</t>
  </si>
  <si>
    <t>A  GRAZ09</t>
  </si>
  <si>
    <t>1 de junio (nomination) 15 de junio (application)</t>
  </si>
  <si>
    <t>06.01</t>
  </si>
  <si>
    <t>06.15</t>
  </si>
  <si>
    <t>1 de noviembre (nomination) - 15 de noviembre (application)</t>
  </si>
  <si>
    <t>11.15</t>
  </si>
  <si>
    <t xml:space="preserve">Electrical Engineering (Electronics and Automation) </t>
  </si>
  <si>
    <t>international@fh-joanneum.at; incoming-students@fh-joanneum.at</t>
  </si>
  <si>
    <t>Regina Käfer-Goiginger</t>
  </si>
  <si>
    <t>https://www.fh-joanneum.at/en/international/study-programmes/international-programme-kapfenberg/ 
https://www.fh-joanneum.at/en/international/study-programmes/</t>
  </si>
  <si>
    <t>se puede desdoblar nº de meses / se quita el área de bio mayo 2026</t>
  </si>
  <si>
    <t>MCI | THE ENTREPRENEURIAL SCHOOL</t>
  </si>
  <si>
    <t xml:space="preserve">	MCI - Management Center Innsbruck</t>
  </si>
  <si>
    <t>Innsbruck</t>
  </si>
  <si>
    <t>A  INNSBRU08</t>
  </si>
  <si>
    <t>1 de abril (nomination) 1 de mayo (application)</t>
  </si>
  <si>
    <t>04.01</t>
  </si>
  <si>
    <t>05.01</t>
  </si>
  <si>
    <t>1 de octubre (nomination) - 1 de noviembre (application)</t>
  </si>
  <si>
    <t>10.01</t>
  </si>
  <si>
    <t>Electrical Engineering (Electronics and Automation) / Biomedical Engineering (Medical Diagnosticand Treatment Technology) /Computer Science (Information and CommunicationTechnologies)</t>
  </si>
  <si>
    <t>Daniel.Dassisi@mci.edu; incoming@mci.edu</t>
  </si>
  <si>
    <t>Daniel D'Assissi</t>
  </si>
  <si>
    <t>INGLÉS B2 o INGLÉS C1 o ALEMÁN B1</t>
  </si>
  <si>
    <t>GRADO:INGLÉS B2 (TOEFL iBT ≥ 75 o TOEFL pBT ≥ 540 o IELTS Academic ≥ 5.5 o PTE Academic ≥ 50 o Cambridge English BEC Vantage ≥ 160 o CAE ≥ 160 o Oxford Test of English ≥ 111 en todas las destrezas o LanguageCert Academic ≥ 60)
MÁSTER:INGLÉS C1 (TOEFL iBT ≥ 85 o TOEFL pBT ≥ 560 o IELTS Academic ≥ 6.5 o PTE Academic ≥ 65 o Cambridge English BEC Higher ≥ 180 o CAE ≥ 180 o Cambridge English Proficiency (CPE) ≥ 200 o Oxford Test of English ≥ 120 en todas las destrezas o LanguageCert Academic ≥ 75) o ALEMÁN B1 (www.mci.edu/exchange-incoming)</t>
  </si>
  <si>
    <t>On undergraduate level, the courses are only offered in the fall semester // No permiten coger asignaturas de varios materes por tema de solapamiento de horarios</t>
  </si>
  <si>
    <t>Acuerdo firmado en septiembre 2022 - se puede desdoblar nº de meses</t>
  </si>
  <si>
    <t>Technische Universität Wien</t>
  </si>
  <si>
    <t>Viena</t>
  </si>
  <si>
    <t>A  WIEN02</t>
  </si>
  <si>
    <t>31 de mayo (nomination) -30 junio (application)</t>
  </si>
  <si>
    <t>05.31</t>
  </si>
  <si>
    <t>06.30</t>
  </si>
  <si>
    <t>15 de diciembre (nomination)- 31 de diciembre (application)</t>
  </si>
  <si>
    <t>12.15</t>
  </si>
  <si>
    <t>12.31</t>
  </si>
  <si>
    <t>Electrical Engineering (Electronics and Automation) / Biomedical Engineering (Medical Diagnosticand Treatment Technology)</t>
  </si>
  <si>
    <t>exchangein@tuwien.ac.at</t>
  </si>
  <si>
    <t>international office</t>
  </si>
  <si>
    <t>ALEMÁN B1 o ALEMÁN A2 o INGLÉS B1</t>
  </si>
  <si>
    <t>Junto con  curso intentivo de alemán.Se acepta  el certificado del departamento de lingüística</t>
  </si>
  <si>
    <t xml:space="preserve"> En la solicitud online hay que registrarse como Master students. Asignaturas en INGLÉS sólo a nivel MASTER. 
Para poder realizar el TFM ponen como condición necesaria el tener un tutor y un tema para el TFM prevío a la llegada, dan una oferta de TFMs y hay que coger uno o renunciar a hacer el TFM. 
Se puede coger algunas asignaturas de la Faculty of informatics</t>
  </si>
  <si>
    <t>Institucional</t>
  </si>
  <si>
    <t>Electrical Engineering</t>
  </si>
  <si>
    <t>UPM (varias Escuelas)</t>
  </si>
  <si>
    <t>se añade el área de bio</t>
  </si>
  <si>
    <t xml:space="preserve">Université Libre de Bruxelles ULB - Ecole Polytechnique de Bruxelles </t>
  </si>
  <si>
    <t xml:space="preserve">	Université Libre de Bruxelles</t>
  </si>
  <si>
    <t>Bruselas</t>
  </si>
  <si>
    <t>B  BRUXEL04</t>
  </si>
  <si>
    <t>BE</t>
  </si>
  <si>
    <t>15 de mayo (nomination) 1 de junio (application)</t>
  </si>
  <si>
    <t>05.15</t>
  </si>
  <si>
    <t>15 de octubre (nomination) - 30 de octubre (application)</t>
  </si>
  <si>
    <t>10.15</t>
  </si>
  <si>
    <t>10.30</t>
  </si>
  <si>
    <t>mobilite@ulb.be; international.polytech@ulb.be; alice.hoslet@ulb.be</t>
  </si>
  <si>
    <t>Hoslet Alice; Rose-Marie Brynaert (EPB)</t>
  </si>
  <si>
    <t>FRANCÉS B1 o INGLÉS B1</t>
  </si>
  <si>
    <t>Sólo se puede hacer TFG con asignaturas que incluyan un proyecto. Se requiere cursar 15ECTS de asignaturas (a parte del TFG). ENG para el Master en ingeniería eléctrica. Se debe encontrar un "Promoter" para realizar el research project (TFM) antes del 1 de junio.</t>
  </si>
  <si>
    <t xml:space="preserve">Electrical Engineering </t>
  </si>
  <si>
    <t>OJO: hay que añadir biomedical engineering en la renovación. Ya acordada</t>
  </si>
  <si>
    <t>Universiteit Gent</t>
  </si>
  <si>
    <t>Gent</t>
  </si>
  <si>
    <t>B  GENT01</t>
  </si>
  <si>
    <t>15 de abril (nomination) 15 de mayo (application)</t>
  </si>
  <si>
    <t>04.15</t>
  </si>
  <si>
    <t>15 octubre(nomination) - 15 de noviembre(application)</t>
  </si>
  <si>
    <t xml:space="preserve">international.ea@ugent.be; outgoing.students@ugent.be; internationalsupport@ugent.be </t>
  </si>
  <si>
    <t>Ann Vanoutryve</t>
  </si>
  <si>
    <t>INGLÉS B2 o HOLANDÉS B2</t>
  </si>
  <si>
    <t>INGLÉS B2: TOEFL min 87 o IELTS 6,0 (min 6,0 in writing) o TOEIC min 785 o FCE, CAE, CPE o University language Center certifying a level B2 o HOLANDES B2 (proof that the student finished successfully a Dutch study programme of at least 1 year)</t>
  </si>
  <si>
    <t>2 plazas para Biomedical Engineering y 2 plazas para Electrical Engineering (se puede nominar solamente en un área)</t>
  </si>
  <si>
    <t>La solicitud de alojamiento abre a ppio de abril así que es mejor hacer la e-nomination pronto aunque el deadline es 15/05
Se puede pasar alumnos del área de teleco al área de bio sin pasarse del número total de alumnos</t>
  </si>
  <si>
    <t>No envían ToR en papel y su ToR no es verificable. Aceptamos el ToR si lo envía Ugent</t>
  </si>
  <si>
    <t>GENT-2</t>
  </si>
  <si>
    <t>Electrical Engineering y Biomedical Engineering</t>
  </si>
  <si>
    <t>Katholike Universiteit Leuven</t>
  </si>
  <si>
    <t>KU Leuven</t>
  </si>
  <si>
    <t>Leuven</t>
  </si>
  <si>
    <t>B  LEUVEN01</t>
  </si>
  <si>
    <t>30 de abril</t>
  </si>
  <si>
    <t>04.30</t>
  </si>
  <si>
    <t>1 de octubre</t>
  </si>
  <si>
    <t xml:space="preserve"> viktoriia.pukhyr@kuleuven.be</t>
  </si>
  <si>
    <t>Viktoriia Pukhyr</t>
  </si>
  <si>
    <t>INGLÉS B2</t>
  </si>
  <si>
    <t>courses available to exchange students can be found here: https://onderwijsaanbod.kuleuven.be/opleidingen/e/SC_51977178.htm#&amp;bl=all 
OJO: solo se puede coger 2 asignaturas máximo en la facultad de business</t>
  </si>
  <si>
    <t>Se puede dividir el número de meses / pasamos de 3*12 a 2*10 en 2022 / Movilidad a partir de 4º curso / se pide aumentar de 2 a 3 alumnos
Indeed, we form agreements mentioning specific study fields (as you mentioned for example Electrical Engineering and Biomedical Engineering), but incoming exchange students are allowed to take courses from any of our Master's programmes at our Faculty</t>
  </si>
  <si>
    <t>Faculty of Engineering Science</t>
  </si>
  <si>
    <t>Université de Liège</t>
  </si>
  <si>
    <t xml:space="preserve">	Université de Liège</t>
  </si>
  <si>
    <t>Lieja</t>
  </si>
  <si>
    <t>B  LIEGE01</t>
  </si>
  <si>
    <t>15 de mayo (nomination) - 31 de mayo (application)</t>
  </si>
  <si>
    <t>1 de noviembre (online) - 15 de noviembre (impreso)</t>
  </si>
  <si>
    <t>mobil.in@uliege.be; 
marta.kucharska@uliege.be</t>
  </si>
  <si>
    <t>Marta KUCHARSKA</t>
  </si>
  <si>
    <t xml:space="preserve">FRANCÉS B1 o INGLÉS B2 </t>
  </si>
  <si>
    <t>Université Catholique de Louvain - EPL</t>
  </si>
  <si>
    <t xml:space="preserve">	Université Catholique de Louvain</t>
  </si>
  <si>
    <t>Louvain-la-Neuve</t>
  </si>
  <si>
    <t>B  LOUVAIN01</t>
  </si>
  <si>
    <t>1 de abril (nomination) - 15 de abril (application)</t>
  </si>
  <si>
    <t>30 septiembre (nomination) - 31 octubre (application)</t>
  </si>
  <si>
    <t>09.30</t>
  </si>
  <si>
    <t>10.31</t>
  </si>
  <si>
    <t>Electrical Engineering (Electronics and Automation)</t>
  </si>
  <si>
    <t>emmanuelle.brun@uclouvain.be </t>
  </si>
  <si>
    <t>Emmanuelle Brun</t>
  </si>
  <si>
    <t xml:space="preserve">FRANCÉS B2  o INGLÉS B2 </t>
  </si>
  <si>
    <t>FRANCÉS B2 (DELF - DALF) o INGLÉS B2 (TOEFL - IEALTS - CAP - CPE o statement of English language teacher)</t>
  </si>
  <si>
    <t>El acuerdo es con EPL (École Polytechnique de Louvain). Bachelor en francés. Máster en inglés.</t>
  </si>
  <si>
    <t>Electronics Engineering</t>
  </si>
  <si>
    <t>Angel Kanchev University of Ruse</t>
  </si>
  <si>
    <t>Rusenski Universitet Angel Kunchev</t>
  </si>
  <si>
    <t>Ruse</t>
  </si>
  <si>
    <t>BG ROUSSE01</t>
  </si>
  <si>
    <t>BG</t>
  </si>
  <si>
    <t>30 de junio (application)</t>
  </si>
  <si>
    <t>30 de noviembre (application)</t>
  </si>
  <si>
    <t>11.30</t>
  </si>
  <si>
    <t xml:space="preserve"> tiliev@uni-ruse.bg</t>
  </si>
  <si>
    <t>Teodor Iliev</t>
  </si>
  <si>
    <t>INGLÉS B1</t>
  </si>
  <si>
    <t xml:space="preserve">Posibilidad de cursar asignaturas del Bachelor degree: Information and Communication Technology en inglés </t>
  </si>
  <si>
    <t>Telecommuncations Department</t>
  </si>
  <si>
    <t>Technical University of Sofia</t>
  </si>
  <si>
    <t>Tehnicheski Universitet Sofia</t>
  </si>
  <si>
    <t>Sofia</t>
  </si>
  <si>
    <t>BG SOFIA16</t>
  </si>
  <si>
    <t>15 de junio</t>
  </si>
  <si>
    <t>15 de noviembre</t>
  </si>
  <si>
    <t>vkp@tu-sofia.bg</t>
  </si>
  <si>
    <t>Vladimir Poulkov</t>
  </si>
  <si>
    <t>Faculty of Telecommunications</t>
  </si>
  <si>
    <t>HES-SO Haute École Spécialisée de Suisse Occidentale - hepia</t>
  </si>
  <si>
    <t xml:space="preserve">	HES-SO Haute École Spécialisée de Suisse Occidentale</t>
  </si>
  <si>
    <t>Ginebra</t>
  </si>
  <si>
    <t>CH DELEMONT03</t>
  </si>
  <si>
    <t>CH</t>
  </si>
  <si>
    <t>31 de marzo</t>
  </si>
  <si>
    <t>03.31</t>
  </si>
  <si>
    <t>AB</t>
  </si>
  <si>
    <t>Electrical Engineering (Electronics and Automation) / Computer Science (Information and CommunicationTechnologies)</t>
  </si>
  <si>
    <t>Sí (beca gobierno Suizo)</t>
  </si>
  <si>
    <t xml:space="preserve">ri.hepia@hesge.ch; </t>
  </si>
  <si>
    <t>FRANCÉS B1</t>
  </si>
  <si>
    <t>(asignaturas de grado SOLO en francés; en master algunas asignaturas en inglés)</t>
  </si>
  <si>
    <t>HES-SO Campus en Lausanne y HEPIA campus en Ginebra / 3 alumnos en el área 714 Electronics Engineering Telecommunications y 3 alumnos en el área 611 Informatics, Computer Science. No se puede cursar TFT, solo asignaturas. 30 ECTS por semestre</t>
  </si>
  <si>
    <t>Engineering of lnformation Technology</t>
  </si>
  <si>
    <t xml:space="preserve">sac-exchange-in@epfl.ch </t>
  </si>
  <si>
    <t>[Universidad suiza, no Erasmus]</t>
  </si>
  <si>
    <t>École Polytechnique Fédérale de Lausanne - EPFL</t>
  </si>
  <si>
    <t xml:space="preserve">	École Polytechnique Fédérale (EPF) Lausanne</t>
  </si>
  <si>
    <t>Lausana</t>
  </si>
  <si>
    <t>CH LAUSANN06</t>
  </si>
  <si>
    <t>15 de abril</t>
  </si>
  <si>
    <t>15 de octubre</t>
  </si>
  <si>
    <t>Computer Science (Information and CommunicationTechnologies) / Electrical Engineering (Electronics and Automation) / Biomedical Engineering (Medical Diagnosticand Treatment Technology)</t>
  </si>
  <si>
    <t>sac-exchange-out@epfl.ch, sac-exchange-in@epfl.ch</t>
  </si>
  <si>
    <t>FRANCÉS B2 o INGLÉS B2</t>
  </si>
  <si>
    <t xml:space="preserve">Nota mínima expediente académico: 7. Bachelor en francés. Master programm en inglés y francés. El alumno debe registrar entre 20/30 créditos ECTS por semestre. Para el TFG, debe solicitar "semester Project" (programa de Máster). No se permite cursar asignaturas en el mismo semestre que se realiza el TFM. The access to courses in our College of Management of Technology (Management of Technology and Entrepreneurship, and Financial Engineering) is not open to exchange students. Asignaturas NO disponibles para alumnos de movilidad: https://www.epfl.ch/education/international/fr/venir-etudier-a-l-epfl/semestres-cours/conditions/ </t>
  </si>
  <si>
    <t>se añade el área de bio empezando en 22/23</t>
  </si>
  <si>
    <t>Electrical Engineering, Computer Science y Biomedical Engineering</t>
  </si>
  <si>
    <t>Se añade el área biomedical engineering</t>
  </si>
  <si>
    <t>Zürcher Hochschule für Angewandte Wissenschaften ZHAW</t>
  </si>
  <si>
    <t>Zürcher Hochschule für Angewandte Wissenschaften</t>
  </si>
  <si>
    <t>Winterthur</t>
  </si>
  <si>
    <t>CH WINTERT03</t>
  </si>
  <si>
    <t>15 de marzo (nomination) - 1 de abril (application)</t>
  </si>
  <si>
    <t>03.15</t>
  </si>
  <si>
    <t>15 de octubre (nomination) - 1 de noviembre (application)</t>
  </si>
  <si>
    <t>international.engineering@zhaw.ch;
exchange.engineering@zhaw.ch</t>
  </si>
  <si>
    <t>Sabrina Meizinger</t>
  </si>
  <si>
    <t xml:space="preserve">ALEMÁN B2 o INGLÉS B2 o INGLÉS C1
</t>
  </si>
  <si>
    <t>GRADO:ALEMÁN B2 o INGLÉS B2 (TOEFL 550/213/79 o TOEIC 700 o IELTS 6.0 o CAE) / MASTER: INGLÉS C1  forma parte de EELISA</t>
  </si>
  <si>
    <t>dic 2022: se renueva el acuerdo con las mismas condiciones</t>
  </si>
  <si>
    <t>Engineering and trade</t>
  </si>
  <si>
    <t>Applied mathematics, Physics, Systems and Operations</t>
  </si>
  <si>
    <t>Czech Technical University CTU</t>
  </si>
  <si>
    <t>Ceské Vysoké Uceni Technické v Praze</t>
  </si>
  <si>
    <t>Prague</t>
  </si>
  <si>
    <t>CZ PRAHA10</t>
  </si>
  <si>
    <t>CZ</t>
  </si>
  <si>
    <t>15 de abril(nomination) - 30 abril (application)</t>
  </si>
  <si>
    <t>15 noviembre (nomination ) -30 de noviembre (application)</t>
  </si>
  <si>
    <t xml:space="preserve"> Lucie.Bilova@cvut.cz</t>
  </si>
  <si>
    <t>Bilova, Lucie</t>
  </si>
  <si>
    <t xml:space="preserve">INGLÉS B2 o ALEMÁN B1  </t>
  </si>
  <si>
    <t>INGLÉS B2 (se acepta el certificado del departamento de lingüística)</t>
  </si>
  <si>
    <t xml:space="preserve">incoming students are required to collect at least 15 ECTS credits/semester </t>
  </si>
  <si>
    <t>01/03/2023 "We don't post hard copies for sure. The students are many times informed about it. In the case you really need a hard copy and the scanned one sent by the international office isn't enough, I hope the student has some friends here to pick up the hard copy in my office and send it"</t>
  </si>
  <si>
    <t>Faculty of Electrical Engineering</t>
  </si>
  <si>
    <t>RWTH - Aachen</t>
  </si>
  <si>
    <t xml:space="preserve">	Rheinisch-Westfälische Technische Hochschule Aachen</t>
  </si>
  <si>
    <t>Aachen</t>
  </si>
  <si>
    <t>D  AACHEN01</t>
  </si>
  <si>
    <t>DE</t>
  </si>
  <si>
    <t>31 de marzo (nomination) - 31 de mayo (application)</t>
  </si>
  <si>
    <t>31 de octubre (nomination)-31 de diciembre (application)</t>
  </si>
  <si>
    <t>incomings@rwth-aachen.de</t>
  </si>
  <si>
    <t>International Office</t>
  </si>
  <si>
    <t xml:space="preserve">INGLÉS B2 o ALEMÁN B1 </t>
  </si>
  <si>
    <t xml:space="preserve">INGLÉS B2 (TOEFL 90 IBT o IELTS 5.5 o CAE) y/o ALEMÁN B1 (TestDaF - Level 4 in all four examination areas- o
Deutsche Sprachprüfung für den Hochschulzugang - Test of German Language Ability for International Students - (DSH, Level 2 or 3) o Deutsches Sprachdiplom der Kultusministerkonferenz - German Language Certificate of the Standing Conference of the German Ministers of Education and Cultural Affairs – Level 2 (KMK II) o The Kleines Deutsches Sprachdiplom - KDS-  Großes Deutsches Sprachdiplom, or Zentrale Oberstufenprüfung - ZOP - (German language certificates of the Goethe Institute) o Deutsche Sprachprüfung II of the Sprachen- und Dolmetscher Institut München - German Language Examination II of the Language and Translators' Institute, Munich)
</t>
  </si>
  <si>
    <t>Bachelor en alemán. Master programm en inglés. El TFM se incluye en el LA cuando el alumno tenga un Supervisor en destino. Se puede agrupar meses</t>
  </si>
  <si>
    <t>Faculty of electrical Engineering and Information Technology</t>
  </si>
  <si>
    <t>Technische Universität Berlin (Faculty IV)</t>
  </si>
  <si>
    <t xml:space="preserve">	Technische Universität Berlin</t>
  </si>
  <si>
    <t>Berlín</t>
  </si>
  <si>
    <t>D  BERLIN02</t>
  </si>
  <si>
    <t>30 de abril (nomination) - 1 de junio (application)</t>
  </si>
  <si>
    <t>31 de octubre (nomination) - 1 de diciembre (application)</t>
  </si>
  <si>
    <t>12.01</t>
  </si>
  <si>
    <t>exchange.programmes@tu-berlin.de</t>
  </si>
  <si>
    <t>Julia Fluthwedel, Laura Timmermann</t>
  </si>
  <si>
    <t>INGLÉS B2 (para TFM-TFG) o ALEMÁN A2 y B1 antes del comienzo del semestre (para asignaturas)</t>
  </si>
  <si>
    <t>El Máster Elektrotechnik (Ingeniería Electrónica) se imparte en alemán y se precisa de un A2 en alemán para completar la Aplicación de destino.El Máster Computer Science (Informática) se imparte en inglés y no se precisa certificado de alemán. Ver información detallada en la web de la oficina internacional.
.nivel ALEMÁN B1 requerido antes del comienzo del semestre para programas académicos en alemán.
OJO: Anything above (B1, B2, C1, C2) can’t be older than 3 years at the time of the application deadline. Comprobad los requisitos de idiomas en la web de la TU Berlin según la titulación solicitada</t>
  </si>
  <si>
    <t xml:space="preserve">Mínimo 160-180 ECTS superados para cursar asignaturas de Máster </t>
  </si>
  <si>
    <t>No envían ToR en papel y su ToR no es verificable. Aceptamos el ToR si lo envía TU Berlín</t>
  </si>
  <si>
    <t>Institut für Teschniche Informatik and Mikroelectronik</t>
  </si>
  <si>
    <t xml:space="preserve">20/1/2020 Narciso  ha informado que en esta Universidad hay un profesor que ha estado con ellos en el GTI, para que los alumnos interesados sepan que pueden tener un contacto en la universidad de destino. </t>
  </si>
  <si>
    <t>Rheinish Friedrich-Wilhems-Universität Bonn</t>
  </si>
  <si>
    <t>Rheinische Friedrich-Wilhelms-Universität Bonn</t>
  </si>
  <si>
    <t>Bonn</t>
  </si>
  <si>
    <t>D  BONN01</t>
  </si>
  <si>
    <t>1 de mayo</t>
  </si>
  <si>
    <t>1 de noviembre</t>
  </si>
  <si>
    <t>Computer Science (Information and CommunicationTechnologies)</t>
  </si>
  <si>
    <t>erasmus-incoming@uni-bonn.de;programme-assist@uni-bonn.de;  elmar.langetepe@informatik.uni-bonn.de</t>
  </si>
  <si>
    <t xml:space="preserve">Susanne Gittel-Avehounkpan; Elmar Langetepe . Manuela Meraner </t>
  </si>
  <si>
    <t xml:space="preserve"> INGLÉS B2 o ALEMÁN B1</t>
  </si>
  <si>
    <t xml:space="preserve">Máster en inglés  </t>
  </si>
  <si>
    <t>Para el TFT hay que buscar y tener tutor en destino antes de iniciar la movilidad</t>
  </si>
  <si>
    <t>Physics</t>
  </si>
  <si>
    <t>Faculty of Natural Sciences: Physikalisches Institüt</t>
  </si>
  <si>
    <t>Technische Universität Braunschweig</t>
  </si>
  <si>
    <t xml:space="preserve">	Technische Universität Braunschweig</t>
  </si>
  <si>
    <t>D  BRAUNSC01</t>
  </si>
  <si>
    <t>30 de abril (nomination) - 31 de mayo (application)</t>
  </si>
  <si>
    <t>31 de octubre (nomination) - 30 de noviembre (application)</t>
  </si>
  <si>
    <t>exchange@tu-braunschweig.de</t>
  </si>
  <si>
    <t>Anne-Kathrin Kaiser</t>
  </si>
  <si>
    <t>ALEMÁN B1 o INGLÉS B1</t>
  </si>
  <si>
    <t>Mínimo 180 ECTS superados para cursar asignaturas de Máster</t>
  </si>
  <si>
    <t>sube el número de alumnos de 1*12 a 2*12 15/01/2025</t>
  </si>
  <si>
    <t>Technische Universität Darmstadt</t>
  </si>
  <si>
    <t>Darmstadt</t>
  </si>
  <si>
    <t>D  DARMSTA01</t>
  </si>
  <si>
    <t>18 Meses</t>
  </si>
  <si>
    <t>31 de marzo (nomination) - 30 de abril (application)</t>
  </si>
  <si>
    <t>30 de septiembre (nomination) - 31 de octubre (application)</t>
  </si>
  <si>
    <t>europe-incomings@pvw.tu-darmstadt.de</t>
  </si>
  <si>
    <t xml:space="preserve">Tanja Torres </t>
  </si>
  <si>
    <t xml:space="preserve">ALEMÁN A2 o INGLÉS B2  
</t>
  </si>
  <si>
    <t xml:space="preserve"> + intensive German language course 
Para alumnos DT Inglés B2
Para alumnos DT Alemán: Goethe Certificate C1</t>
  </si>
  <si>
    <t>Para DT 90 ECTS (60ECTS de asignaturas y 30 de TFM). El Master de TU Darmstadt en inglés es: Master iCE (MICE = Master in Information and Communication Engineering). Duración 1año y medio + prorroga de max 1 año. El Máster en alemán: Master in Elektrotechnik und Informationstechnik / English courses: https://www.tucan.tu-darmstadt.de/scripts/mgrqcgi?APPNAME=CampusNet&amp;PRGNAME=ACTION&amp;ARGUMENTS=-ArRbQdVLqES91bsx53bxh1nfz5Sc3fPdqO2LhUfD4HVUxTtzHuqoJHc7CJmS6nO2o088NXhvM02sBmu5wKMaBzuB4gCU0ez5SiTxsNp50HT9SD9dB3t4Y7gLEDBa=</t>
  </si>
  <si>
    <t>Friedrich-Alexander Universität FAU</t>
  </si>
  <si>
    <t xml:space="preserve">	Friedrich-Alexander-Universität Erlangen-Nürnberg</t>
  </si>
  <si>
    <t>Erlangen</t>
  </si>
  <si>
    <t>D  ERLANGE01</t>
  </si>
  <si>
    <t>30 de abril (nomination) - 15 de mayo (application)</t>
  </si>
  <si>
    <t>31 de octubre (application) - 15 de noviembre (nomination)</t>
  </si>
  <si>
    <t>mobility@fau.de</t>
  </si>
  <si>
    <t xml:space="preserve"> ALEMÁN A2 o INGLÉS B2 o ALEMÁN B1</t>
  </si>
  <si>
    <t xml:space="preserve">Bachelor: ALEMÁN A2 o Inglés B2 // Master: Alemán B1 o Inglés B2 Official certificates (TOEFL, IELTS,
DAF, etc.) or confirmations issued by a professional language teacher with
stamp and signature are accepted. 
- for English: www.fau.de/files/2014/08/Programmstudierende_aus_dem_Ausland-
Nachweis-Englischkenntnisse.pdf </t>
  </si>
  <si>
    <t>Para hacer TFG en inglés es necesario buscar un tutor y consensuar con él el idioma. ENG para el Master "Communications and Multimedia Engineering (CME)" se requiere un nivel minimo de alemán A2 o es obligado hacer el curso intensivo de alemán en septiembre / 2*10 plazas en el area biomedical engineering y 2*10 plazas en el area Electronica engineering / Forma parte de EELISA</t>
  </si>
  <si>
    <t>Electrical Engineering and Biomedical engineering</t>
  </si>
  <si>
    <t>Hoch frenquenzentechnick and Zentralinstitüt für Medizintechnik</t>
  </si>
  <si>
    <t>Hamburg University of Technology - TUHH</t>
  </si>
  <si>
    <t>Technische Universität Hamburg-Harburg</t>
  </si>
  <si>
    <t>Hamburg</t>
  </si>
  <si>
    <t>D  HAMBURG03</t>
  </si>
  <si>
    <t>20 de abril (nomination) - 15 de junio (application)</t>
  </si>
  <si>
    <t>04.20</t>
  </si>
  <si>
    <t>20 de octubre (nomination) 15 de diciembre (application)</t>
  </si>
  <si>
    <t>10.20</t>
  </si>
  <si>
    <t>internationaloffice@tuhh.de</t>
  </si>
  <si>
    <t xml:space="preserve"> INGLÉS B2 o ALEMÁN B1 </t>
  </si>
  <si>
    <t>(se acepta atestación firmada del departamento de lingüística)</t>
  </si>
  <si>
    <t xml:space="preserve">asignaturas de Máster en inglés y Bachelor Engineering Science / 2 estudiantes en el área bio y 4 estudiantes en el área teleco </t>
  </si>
  <si>
    <t>Electronics Automation and Biomedical Engineering</t>
  </si>
  <si>
    <t>School of Electrical Engineering, Computer Sciences and Mathematic and School of Mechanical Engineering</t>
  </si>
  <si>
    <t>Universität Kassel</t>
  </si>
  <si>
    <t xml:space="preserve">	Universität Kassel</t>
  </si>
  <si>
    <t>Kassel</t>
  </si>
  <si>
    <t>D  KASSEL01</t>
  </si>
  <si>
    <t>31 de mayo  (nomination-application)</t>
  </si>
  <si>
    <t>30 de noviembre  (nomination-application)</t>
  </si>
  <si>
    <t>Electrical Engineering:  (Electricity and Energy); (Electronics and Automation) / ComputerScience (Information and CommunicationTechnologies)</t>
  </si>
  <si>
    <t xml:space="preserve">exchange@uni-kassel.de </t>
  </si>
  <si>
    <t xml:space="preserve"> Algunas asignaturas en inglés, especialmete en el área 061 / posibilidad de TFM y TFG en inglés: la unviersidad aceptará las solicitudes "caso por caso"</t>
  </si>
  <si>
    <t>Electronics Automation and Computer Science</t>
  </si>
  <si>
    <t>Electrotechnik</t>
  </si>
  <si>
    <t>Mannheim University of Applied Sciences</t>
  </si>
  <si>
    <t xml:space="preserve">	Hochschule Mannheim</t>
  </si>
  <si>
    <t>Mannheim</t>
  </si>
  <si>
    <t>D  MANNHEI03</t>
  </si>
  <si>
    <t>30 de abril(nomination)-31 de mayo(application)</t>
  </si>
  <si>
    <t>30 septiembre (nomination) - 15 noviembre (application)</t>
  </si>
  <si>
    <t xml:space="preserve">erasmus.io@hs-mannheim.de;incoming.io@hs-mannheim.de </t>
  </si>
  <si>
    <t>Ms. Maria Mann</t>
  </si>
  <si>
    <t xml:space="preserve">ALEMÁN B1 o ALEMÁN A2 o INGLÉS B2 </t>
  </si>
  <si>
    <t>+ curso intensivo de alemán en septiembre</t>
  </si>
  <si>
    <t>Biomédical engineering sólo en Departamento Tecnologías de la Información (NO con Departamento de Biotecnología) /Alemán para Bioingeniería médica / Inglés o Alemán para Electronics /Alemán para Bachelor y demás programas de Máster. Mínimo 180 ECTS superados para cursar asignaturas de Máster.</t>
  </si>
  <si>
    <t xml:space="preserve">No se puede dividir el número de plazas </t>
  </si>
  <si>
    <t>Technische Universität München</t>
  </si>
  <si>
    <t>Technische Universität München (TUM)</t>
  </si>
  <si>
    <t>München</t>
  </si>
  <si>
    <t>D  MUNCHEN02</t>
  </si>
  <si>
    <t>30 de abril (nomination) - 10 de mayo (application)</t>
  </si>
  <si>
    <t>05.10</t>
  </si>
  <si>
    <t xml:space="preserve">17 de octubre (nomination) 31 de octubre (application) </t>
  </si>
  <si>
    <t>10.17</t>
  </si>
  <si>
    <t>Electrical Engineering (Electricity and Energy)</t>
  </si>
  <si>
    <t>larissa.meier@tum.de</t>
  </si>
  <si>
    <t>Larissa Meier</t>
  </si>
  <si>
    <t>ALEMÁN B1 o INGLÉS B2</t>
  </si>
  <si>
    <t>(una atestación del departmento de lingüística es aceptada)</t>
  </si>
  <si>
    <t>Se pueden cursar asignaturas de varios departamentos pero la mayoría deben ser de Electrical and Computer Engineering (at least 60%). Para movilidad de 1 semestre, solo hay un periodo de examinación.</t>
  </si>
  <si>
    <r>
      <t xml:space="preserve">Please only nominate students within the existing agreements between your university and TUM! Do not change the number of students or the TUM department, as we could not accept such nominations! - Al tratarse de un acuerdo en el marco de Electrical Engineering, al menos un 60% de los créditos a cursar deben corresponder a esta rama.  </t>
    </r>
    <r>
      <rPr>
        <b/>
        <u/>
        <sz val="8"/>
        <rFont val="Arial"/>
        <family val="2"/>
      </rPr>
      <t xml:space="preserve">No se puede dividir el número de plazas. </t>
    </r>
    <r>
      <rPr>
        <b/>
        <u/>
        <sz val="8"/>
        <color indexed="10"/>
        <rFont val="Arial"/>
        <family val="2"/>
      </rPr>
      <t>RETOMAR ACUERDO INCLUIR 061 y 914 EN MAYO 2024</t>
    </r>
    <r>
      <rPr>
        <b/>
        <sz val="8"/>
        <rFont val="Arial"/>
        <family val="2"/>
      </rPr>
      <t xml:space="preserve">
</t>
    </r>
  </si>
  <si>
    <t>Faculty of Electrical Engineering and Information Technology</t>
  </si>
  <si>
    <t>Universität des Saarlandes</t>
  </si>
  <si>
    <t xml:space="preserve">	Universität des Saarlandes</t>
  </si>
  <si>
    <t>Saarbruecken</t>
  </si>
  <si>
    <t>D  SAARBRU01</t>
  </si>
  <si>
    <t>15 de junio (nomination)- 30 junio (application)</t>
  </si>
  <si>
    <t>15 de diciembre (nomination) - 30 de diciembre (application)</t>
  </si>
  <si>
    <t>12.30</t>
  </si>
  <si>
    <t>Electrical Engineering (Electronics and Automation) / Computer Science (Information and CommunicationTechnologies) / Biomedical Engineering</t>
  </si>
  <si>
    <t>erasmus@io.uni-saarland.de; international@uni-saarland.de (IIA)</t>
  </si>
  <si>
    <t>Luis Lidon</t>
  </si>
  <si>
    <t>asignaturas de Máster "Computer and Communication Technology" en inglés / 2 plazas para computer science  / acuerdo con su UDS Systems Engineering. course catalogue: https://www.lsf.uni-saarland.de/qisserver/rds?state=wtree&amp;search=1&amp;trex=step&amp;root120242=396627%7C397868%7C394098&amp;P.vx=kurz uy acuerdo con UDS Computer Science</t>
  </si>
  <si>
    <t>Electrical Engineering, Medical Technology and Computer Science</t>
  </si>
  <si>
    <t>Mechatronik and Mathematics&amp;Informatik</t>
  </si>
  <si>
    <t>Universität Stuttgart</t>
  </si>
  <si>
    <t xml:space="preserve">	Universität Stuttgart</t>
  </si>
  <si>
    <t xml:space="preserve">Stuttgart </t>
  </si>
  <si>
    <t>D  STUTTGA01</t>
  </si>
  <si>
    <t>1 de abril (nomination) 1 de mayo (registration) 1 de junio (application)</t>
  </si>
  <si>
    <t>1 de octubre (nomination) - 1 de noviembre (registration) - 1 de diciembre (application)</t>
  </si>
  <si>
    <t>incoming@ia.uni-stuttgart.de</t>
  </si>
  <si>
    <t>Rebecca Schwenger  Silvia Cornacchiari</t>
  </si>
  <si>
    <t xml:space="preserve">INGLÉS B2 o ALEMÁN B2 </t>
  </si>
  <si>
    <t>Junto con cursos intensivos de alemán</t>
  </si>
  <si>
    <t>Para realizar e TFG o TFM  el alumno deberá solicitar el curso entero y cursar asignaturas en el 1er semestre mientras el Proyecto se realizará en el 2ndo semestre / Mínimo 180 ECTS superados para cursar asignaturas de Máster /2 alumnos para 714 y 2 alumos para 914.</t>
  </si>
  <si>
    <t>Institucional y Departamental</t>
  </si>
  <si>
    <t>Electrical Engineering and Information Technology, Biomedical Engineering</t>
  </si>
  <si>
    <t>UPM (varias Escuelas) + ETSIT</t>
  </si>
  <si>
    <t>Aalborg University</t>
  </si>
  <si>
    <t xml:space="preserve">	Aalborg Universitet</t>
  </si>
  <si>
    <t>Aalborg</t>
  </si>
  <si>
    <t>DK ALBORG01</t>
  </si>
  <si>
    <t>DK</t>
  </si>
  <si>
    <t>1 de abril (nomination) 15 de abril (application)</t>
  </si>
  <si>
    <t>1 de octubre (nomination) - 15 de octubre (application)</t>
  </si>
  <si>
    <t>10.10</t>
  </si>
  <si>
    <t>internationaloffice@aau.dk; incoming-student@aau.dk; outgoing-student@adm.aau.dk</t>
  </si>
  <si>
    <t xml:space="preserve">Rikke Hougaard </t>
  </si>
  <si>
    <t>(IELTS 6.5 / TOEFL 85 with a minimum score of 20 in each section / Cambridge ESOL C1)</t>
  </si>
  <si>
    <t>Campus en Aalborg y en Copenhagen. Mínimo 180 ECTS superados para cursar asignaturas de Máster.  Se requiere cursar 30 ECTS/semestre. Para asignaturas de Electronics y IT, escoger asignaturas de "Innovative Communication Technologies and Entrepreneurship", "Signal Processing and Acoustics" y "Control and Automation" /Students can only choose course packages with the study board(s) that are covered by the exchange agreement with you as an exchange partner</t>
  </si>
  <si>
    <t>En cuanto al TOEFL se podría hacer una excepción si una de las competencias tiene un 19 pero la suma general cumple con los requisitos</t>
  </si>
  <si>
    <t>Technical University of Denmark - DTU</t>
  </si>
  <si>
    <t>Danmarks Tekniske Universitet</t>
  </si>
  <si>
    <t>Lyngby (Copenhague)</t>
  </si>
  <si>
    <t>DK LYNGBY01</t>
  </si>
  <si>
    <t>Electrical Engineering (Electronics and Automation) / Biomedical Engineering / Computer Science</t>
  </si>
  <si>
    <t>asmae@dtu.dk</t>
  </si>
  <si>
    <t>Astrid Marie Christiansen</t>
  </si>
  <si>
    <t>(atestación del departamento de lingüística válida)</t>
  </si>
  <si>
    <t>Bachelor en Danés. Master en inglés. No se puede comenzar la Master's Thesis hasta Febrero y el periodo de realización es 5 meses. Min 20 ECTS por semestre http://www.dtu.dk/english/Education/Incoming-students/Exchange.</t>
  </si>
  <si>
    <t>Université Marie et Louis Pasteur</t>
  </si>
  <si>
    <t>Université de Franche-Comté</t>
  </si>
  <si>
    <t>Besançon</t>
  </si>
  <si>
    <t>F  BESANCO01</t>
  </si>
  <si>
    <t>FR</t>
  </si>
  <si>
    <t>15 de mayo (nomination)- 1 de junio (application)</t>
  </si>
  <si>
    <t>Biomedical Engineering (Medical Diagnosticand Treatment Technology)</t>
  </si>
  <si>
    <t>michelle.parrenin@univ-fcomte.fr</t>
  </si>
  <si>
    <t>Michelle PARRENIN</t>
  </si>
  <si>
    <t xml:space="preserve">Medical Technology </t>
  </si>
  <si>
    <t>cambió el nombre universidad en marzo 2025</t>
  </si>
  <si>
    <t>914 Biomedical Engineering</t>
  </si>
  <si>
    <t>Medical diagnostic and treatmente technology</t>
  </si>
  <si>
    <t>Jean-Marie CROLET - jean-marie.crolet@univ-fcmote.fr</t>
  </si>
  <si>
    <t>École pour l'Informatique et les Techniques Avancées - EPITA</t>
  </si>
  <si>
    <t>Ecole pour l'Informatique et les Techniques Avancées (EPITA)</t>
  </si>
  <si>
    <t>Paris</t>
  </si>
  <si>
    <t>F  BICETRE02</t>
  </si>
  <si>
    <t>15 de mayo (nomination) - 30 de mayo (application)</t>
  </si>
  <si>
    <t>05.30</t>
  </si>
  <si>
    <t>15 de octubre (nomination) - 31 de octubre (application)</t>
  </si>
  <si>
    <t>Electrical Engineering (Electronics and Automation) / Computer Science (Information and Communication Technologies)</t>
  </si>
  <si>
    <t>international@epita.fr ; camille-chloe.moussa@epita.fr</t>
  </si>
  <si>
    <t>Camille-Chloé MOUSSA</t>
  </si>
  <si>
    <t>FRANCÉS B1 o INGLÉS B2</t>
  </si>
  <si>
    <t xml:space="preserve"> INGLÉS B2(TOEFL (minimum score 550 ITP, 80 IBT) 
TOEIC (minimum score 750) 
IELTS (minimum score 6.0)
Cambridge ESOL Examinations BULATS (B2)</t>
  </si>
  <si>
    <t>Master degrees in English: https://www.epita.fr/en/degree-programs-english/</t>
  </si>
  <si>
    <t>610 Computer Science</t>
  </si>
  <si>
    <t>Eramus+ Coordinator: Ms Maria Hutler maria.hulter@epita.fr/Ms Nazima Canda mazima.canda@epifa.fr</t>
  </si>
  <si>
    <t>Acuerdo: 0610 Information and Communication Technologies</t>
  </si>
  <si>
    <t>ENSEIRB MATMECA / IPB</t>
  </si>
  <si>
    <t xml:space="preserve">	Bordeaux INP – Ecole Nationale Supérieure d’Electronique, Informatique, Télécommunications, Mathématiques et Mécanique (ENSEIRB-MATMECA)</t>
  </si>
  <si>
    <t>Bordeaux</t>
  </si>
  <si>
    <t>F  BORDEAU54</t>
  </si>
  <si>
    <t>1 de mayo (nomination) 15 de mayo (application)</t>
  </si>
  <si>
    <t>1 de noviemrbe (nomination) - 15 noviembre (application)</t>
  </si>
  <si>
    <t>Electrical Engineering (Electronics and Automation) /Computer Science (Information and Communication Technologies)</t>
  </si>
  <si>
    <t xml:space="preserve">iro@enseirb-matmeca.fr </t>
  </si>
  <si>
    <t xml:space="preserve">FRANCÉS B2 </t>
  </si>
  <si>
    <t xml:space="preserve">•	Programs taught in English are only available at Master level (Master 2): 
Automatic and Mecatronics in Automotive, Aeronautic and Space Industry
Electronic systems for biomedical engineering 
Radio &amp; Telecommunication Systems
Advanced Modelling of Materials and Structures
</t>
  </si>
  <si>
    <t>¿713 Electronics Engineering /y/o 714 Electrical Engineering ?</t>
  </si>
  <si>
    <t>International Officer: Ms Marie-Odile Vasconcelos -iro@enseirb-matmeca.fr</t>
  </si>
  <si>
    <t>Acuerdo: 071 Electronics and automation/Telecomunication- Aparece el área 725 Medical Tecnology sin plazas -Para teacher area 071 Electrical and Telecom Engin</t>
  </si>
  <si>
    <t>École Nationale d’Ingénieurs de Brest ENIB</t>
  </si>
  <si>
    <t xml:space="preserve">	Ecole Nationale d'Ingénieurs de Brest</t>
  </si>
  <si>
    <t>Brest</t>
  </si>
  <si>
    <t>F  BREST07</t>
  </si>
  <si>
    <t>15 de mayo</t>
  </si>
  <si>
    <t xml:space="preserve">international@enib.fr; </t>
  </si>
  <si>
    <t>Katy LE BRIS</t>
  </si>
  <si>
    <t>INGLÉS B2 (for project or bachelor/master thesis)</t>
  </si>
  <si>
    <t>Every international student must attend a French language course throughout the year (a placement test will determine your group)</t>
  </si>
  <si>
    <t xml:space="preserve">714 Electrical Engineering </t>
  </si>
  <si>
    <t>Institutional coordinator: Anne Pierre-Duplessix-anne.pierre-duplessix@telecom:bretagne.eu</t>
  </si>
  <si>
    <t>ISEN Yncréa Ouest</t>
  </si>
  <si>
    <t xml:space="preserve">	Institut Supérieur de l'Electronique et du Numérique - Brest : ISEN-Brest</t>
  </si>
  <si>
    <t>F  BREST26</t>
  </si>
  <si>
    <t>1 de mayo (nomination) - 30 de mayo (application)</t>
  </si>
  <si>
    <t>1 de octubre (nomination) - 30 de octubre (application)</t>
  </si>
  <si>
    <t>Electrical Engineering (Electronics and Automation) / Biomedical Engineering (Medical Diagnosticand Treatment Technology) / Computer Science ICTs</t>
  </si>
  <si>
    <t>susan.gibbs@isen-ouest.yncrea.fr</t>
  </si>
  <si>
    <t>Susan Gibbs</t>
  </si>
  <si>
    <t>INGLÉS B2 o FRANCÉS B2</t>
  </si>
  <si>
    <t>INGLÉS B2 (TOEIC (min. 785), TOEFL-IBT (min . 72) or equivalent test (Cambridge, Duolingo))</t>
  </si>
  <si>
    <t>Subjects in English given in the fall semester (they are working to extend them to the spring semester): https://isen-nantes.fr/international-accueil/exchange-students/</t>
  </si>
  <si>
    <t>acuerdo firmado en agosto 2023</t>
  </si>
  <si>
    <t>Ms Susan Gibbs: susan.gibbs@isen-ouest.yncrea.fr (Institutionnal Coordinator); anne-marie.miras@isen-ouest.yncrea.fr (Coordinator incoming students)</t>
  </si>
  <si>
    <t>École Nationale Supérieure d'Ingénieurs de Caen ENSICAEN</t>
  </si>
  <si>
    <t xml:space="preserve">	Ecole Nationale Supérieure d'Ingénieurs de Caen (ENSICAEN)</t>
  </si>
  <si>
    <t>Caen</t>
  </si>
  <si>
    <t>F  CAEN05</t>
  </si>
  <si>
    <t>30  de abril (nomination) - 1 de julio (Application)</t>
  </si>
  <si>
    <t>07.01</t>
  </si>
  <si>
    <t>15 de octubre (nomination) - 1 de diciembre (application)</t>
  </si>
  <si>
    <t xml:space="preserve">international@ensicaen.fr </t>
  </si>
  <si>
    <t>DT 2 opciones: 1. 4º curso de grado + 2º de MUIT o 2. 2º curso de MUIT (2 años)</t>
  </si>
  <si>
    <t>DT válido hasta 2022/23</t>
  </si>
  <si>
    <t>610 Computer Science / 713 Electronics Engineering</t>
  </si>
  <si>
    <t>Erasmus Institutional Coordinator: Cantal Gunther- chantal.gunther@ensicaenfr</t>
  </si>
  <si>
    <t>Acuerdo: 0481 Computer Sciences/ 0714 Electronics Telecommunication Engineering/ Se añade 914 Bio</t>
  </si>
  <si>
    <t>EURECOM</t>
  </si>
  <si>
    <t>Eurecom</t>
  </si>
  <si>
    <t>Sophia Antipolis</t>
  </si>
  <si>
    <t>F  CANNES09</t>
  </si>
  <si>
    <t>1 de mayo (nomination) - 15 de mayo (application)</t>
  </si>
  <si>
    <t>pascale.castaing@eurecom.fr; Stephanie.Marmion@eurecom.fr; Admission@eurecom.fr</t>
  </si>
  <si>
    <t>Pascale Castaing; Stéphanie Marmion; Guillaume de Lemos</t>
  </si>
  <si>
    <t>(recomendado FRANCÉS A2 una vez inscritos)</t>
  </si>
  <si>
    <t>https://www.eurecom.fr/index.php/en/teaching/engineering-studies-exchange-students / Para alumnos de DT: 18 meses ( 1 curso asignaturas y 1 semestre TFM TOTAL: 90 ECTS)</t>
  </si>
  <si>
    <t>nuevo acuerdo + DT octubre 2022 / 2 alumnos para electricalengineering y 1 alumno para computer science / Philipe s'en va juillet 2023</t>
  </si>
  <si>
    <t>Ecole Nationale Supérieure de l'Electronique et de ses Applications (ENSEA)</t>
  </si>
  <si>
    <t xml:space="preserve">	Ecole Nationale Supérieure de l'Electronique et de ses Applications</t>
  </si>
  <si>
    <t>Cergy (Paris)</t>
  </si>
  <si>
    <t>F  CERGY01</t>
  </si>
  <si>
    <t>1 de junio(nomination)- 15 de junio(application)</t>
  </si>
  <si>
    <t>ri@ensea.fr</t>
  </si>
  <si>
    <t>Ms Manuela Insana</t>
  </si>
  <si>
    <r>
      <rPr>
        <b/>
        <sz val="8"/>
        <color rgb="FF000000"/>
        <rFont val="Arial"/>
        <family val="2"/>
      </rPr>
      <t>new English-taught programs</t>
    </r>
    <r>
      <rPr>
        <sz val="11"/>
        <color rgb="FF000000"/>
        <rFont val="Calibri"/>
        <family val="2"/>
        <scheme val="minor"/>
      </rPr>
      <t xml:space="preserve"> starting in September 2022 in the following fields of study: </t>
    </r>
    <r>
      <rPr>
        <b/>
        <sz val="11"/>
        <color rgb="FF000000"/>
        <rFont val="Calibri"/>
        <family val="2"/>
      </rPr>
      <t>Physical Engineering and Embedded Systems, Materials and Chemistry, Computer Science</t>
    </r>
  </si>
  <si>
    <t>DT firmado octubre 2020 válido hasta 2024/25</t>
  </si>
  <si>
    <t>714 Electrical Engineering / 914 Biomedical Engineering</t>
  </si>
  <si>
    <t>Head of International Relations: Prof. Christina Faye-faye@ensea.fr</t>
  </si>
  <si>
    <t>Acuerdo: 065 Electrical&amp;Telecom Engin/725 Medical Technology</t>
  </si>
  <si>
    <t>Telecom Sud Paris</t>
  </si>
  <si>
    <t>Télécom SudParis</t>
  </si>
  <si>
    <t>Evry (Paris)</t>
  </si>
  <si>
    <t>F  EVRY11</t>
  </si>
  <si>
    <t>1 de abril (nomination) - 1 de mayo (application)- 1 de abril application DT</t>
  </si>
  <si>
    <t>Electrical Engineering (Electronics and Automation) / Computer Science ICTs</t>
  </si>
  <si>
    <t>international@telecom-sudparis.eu</t>
  </si>
  <si>
    <t>Isabelle TOUFFET</t>
  </si>
  <si>
    <t>INGLÉS B2 (TOEFL Ibt - 95; Cambridge CAE; IELTS - 7.00; Cambridge: CAE; TOEIC: 945)</t>
  </si>
  <si>
    <t xml:space="preserve">Decidirán caso por caso la posibilidad de hacer TFG / Master of Engineering (in French or in English). /No pueden mezclar asignaturas de diferentes majors or Master of Science / No se puede coger asignaturas de diferentes cursos / TSP offers more than 11 Master’s programs fully in English.
http://www.telecom-sudparis.eu/p_en_formations_ingenieur-generaliste_approfondissement_1054.html 
</t>
  </si>
  <si>
    <t>714 Electrical Engineering</t>
  </si>
  <si>
    <t>Institutional coordinator: Ms Roisin Donhoe-roisin.donohoe@telecom-sudparis.eu/ Administrive contact: Ms Laura Landes-laura.landes@telecom-sudparis.eur</t>
  </si>
  <si>
    <t>Acuerdo: 071 Engineering and Enginerring trades: Electrical Engineering</t>
  </si>
  <si>
    <t>Centrale SUPELEC</t>
  </si>
  <si>
    <t>CentraleSupélec</t>
  </si>
  <si>
    <t>Paris Saclay - Metz - Rennes</t>
  </si>
  <si>
    <t>F  GIF-YVE03</t>
  </si>
  <si>
    <t>24 Meses para in and out</t>
  </si>
  <si>
    <t>Exchange programme: 22 de marzo (nomination) - 22 de abril (application)
Double Degree programme: 15 de abril (nomination) - 15 de mayo (application)</t>
  </si>
  <si>
    <t>03.22</t>
  </si>
  <si>
    <t xml:space="preserve">04.22 / 05.15 </t>
  </si>
  <si>
    <t>10 de octubre (nomination) - 10 de noviembre (application)</t>
  </si>
  <si>
    <t>11.10</t>
  </si>
  <si>
    <t>carine.morotti-delorme@centralesupelec.fr;  julie.castel@centralesupelec.fr; marisol.verstraete@centralesupelec.fr</t>
  </si>
  <si>
    <t>Carine Morotti-Delorme (promotion); Julie Castel (exchange programs); Marisol Verstraete (DD incoming)</t>
  </si>
  <si>
    <t>3 students for the double degree programme  (3 campus: Paris Saclay, Metz and Rennes) y 3 alumnos para programa de movilidad. For non degree students, the spring semester may be fully taught in English. Para exchange students, se puede escoger asignaturas de 2º curso en Centrale Supelec: https://www.centralesupelec.fr/sites/default/files/cat_2024_-_2a_-_en_v1.pdf. Nota media: minimum 7.0</t>
  </si>
  <si>
    <t>Institutional coordinator: Jocelyn Fiorina-jocelyn.fiorina@centralsupelec.fr /Admnistrtive contact: Ms Xaviére Marcy-xaviere.marcy@supelec.fr</t>
  </si>
  <si>
    <t>Acuerdo: 714 Electrical &amp; Telecom Engin</t>
  </si>
  <si>
    <t>INP Grenoble, Institute of Engineering and Management</t>
  </si>
  <si>
    <t xml:space="preserve">	Grenoble INP - UGA</t>
  </si>
  <si>
    <t>Grenoble</t>
  </si>
  <si>
    <t>F  GRENOBL22</t>
  </si>
  <si>
    <t>international.welcomeservices@grenoble-inp.fr</t>
  </si>
  <si>
    <t>Runchen LIU</t>
  </si>
  <si>
    <t>1 alumno en el dpto. PHELMA, 2 alumnos en el dpto. ENSE3, 2 alumnos en el dpto. ENSIMAG</t>
  </si>
  <si>
    <t>"En Phelma, todas las transcripciones de calificaciones se envían en versión digital, no las imprimimos ni las firmamos manualmente"</t>
  </si>
  <si>
    <t>Administrateur General: Prof. Brigite PlateauI/International Office: Ms Virginie Klasser-virginie.klasser@grenoble-inp.fr</t>
  </si>
  <si>
    <t>Acuerdo: 523 Electronic &amp; Automation</t>
  </si>
  <si>
    <t>Université Grenoble Alpes - UGA</t>
  </si>
  <si>
    <t>Université Grenoble Alpes</t>
  </si>
  <si>
    <t>F  GRENOBL55</t>
  </si>
  <si>
    <t>30 de abril (nomination) - 30 de mayo (application)</t>
  </si>
  <si>
    <t>30 de septiembre (nomination) - 18 de octubre (application)</t>
  </si>
  <si>
    <t>10.18</t>
  </si>
  <si>
    <t xml:space="preserve"> Biomedical Engineering (Medical Diagnosticand Treatment Technology) / Electrical Engineering (Electronics and Automation)</t>
  </si>
  <si>
    <t xml:space="preserve">Sí </t>
  </si>
  <si>
    <t xml:space="preserve">partnerships@univ-grenoble-alpes.fr; valerie.guieu@univ-grenoble-alpes.fr; </t>
  </si>
  <si>
    <t>Pauline Aubry, Valérie Guieu</t>
  </si>
  <si>
    <t xml:space="preserve">FRANCÉS B2 o INGLÉS B2 </t>
  </si>
  <si>
    <t>(certificado del departamento de lingüística aceptado)</t>
  </si>
  <si>
    <t xml:space="preserve">Para MTiH, solo un semestre. Para estudiantes de MUIB y GIB: el acuerdo es con la facultad de farmacia de la UGA. Inglés para asignaturas de Máster. Although most of the courses are in French, our Faculty proposes course enterly in English in master 2 programs: http://formations.univ-grenoble-alpes.fr/fr/catalogue/master-XB/sciences-technologies-sante-STS/master-ingenierie-de-la-sante-program-master-ingenierie-de-la-sante.html?search-keywords=sant%E9 / 2nd cycle (máster) Mobility to UGA is only possible in the 1st semester. </t>
  </si>
  <si>
    <t>HEC</t>
  </si>
  <si>
    <t>HEC School of Management</t>
  </si>
  <si>
    <t>F  JOUY-JO02</t>
  </si>
  <si>
    <t>24 Meses</t>
  </si>
  <si>
    <t>27 de febrero (3rd round)</t>
  </si>
  <si>
    <t>02.27</t>
  </si>
  <si>
    <t>admissionsmasters@hec.fr</t>
  </si>
  <si>
    <t>Zoey Crabb</t>
  </si>
  <si>
    <t xml:space="preserve">INGLÉS B2 o INGLÉS B1 + FRANCÉS A2 </t>
  </si>
  <si>
    <t>Se abona matrícula para la DT</t>
  </si>
  <si>
    <t>DT válido hasta 2021/2022 / Si los alumnos van a hacer fuera el gap year, deben solicitar la correspondiente aceptación y su inclusión en el PF. Es un cambio que deben hacer cuando ya están en destino. Es recomendable nominar al lumnado en el 3er round</t>
  </si>
  <si>
    <t>Université des Sciences et Technologies de Lille - Polytech Lille</t>
  </si>
  <si>
    <t>Université de Lille</t>
  </si>
  <si>
    <t>Lille</t>
  </si>
  <si>
    <t>F  LILLE103</t>
  </si>
  <si>
    <t>1 de mayo (nommination)- 10 de mayo (application)</t>
  </si>
  <si>
    <t>15 de octubre (nommination) -1 de noviembre (application)</t>
  </si>
  <si>
    <t>Si</t>
  </si>
  <si>
    <t xml:space="preserve"> Blandine.Kowalski@polytech-lille.fr</t>
  </si>
  <si>
    <t>Blandine Kowalski</t>
  </si>
  <si>
    <t>Polytech Lille: We recommend that students who intend to come for a study period of one semester apply for the autumn Semester. An important part of the Spring semester is dedicated to the industrial placement
or to projects in laboratories (particularly during the fourth and fifth year).
Students who come for the full academic year will combine study period with placements in research laboratories or in industry. The best period to carry out a project is from the beginning of February to the end of June // You cannot combine lectures from different engineering degree courses or semesters because of incompatible timetables. 
Master in English (para alumnado MUIT): INSPIRE (https://www.polytech-lille.fr/english/inspire/) INternational semester of Sustainable Practices, Innovation, Resilience and Energy.
Master’s level, autumn semester only.</t>
  </si>
  <si>
    <t>se añade el código 0610 en diciembre 2025</t>
  </si>
  <si>
    <t>Centrale Lille</t>
  </si>
  <si>
    <t xml:space="preserve">	Centrale Lille Institut</t>
  </si>
  <si>
    <t xml:space="preserve">F  LILLE14 </t>
  </si>
  <si>
    <t>15 de abril (nommination)- 30 de abril (application)</t>
  </si>
  <si>
    <t>15 de octubre (nommination) -31 de octubre (application)</t>
  </si>
  <si>
    <t>christophe.sueur@centralelille.fr ; international.mobility@centralelille.fr (for nomination &amp; application purposes)</t>
  </si>
  <si>
    <t>Christophe Sueur</t>
  </si>
  <si>
    <t>3 students for the double degree programme</t>
  </si>
  <si>
    <t>NUEVO!</t>
  </si>
  <si>
    <t>IMT Nord Europe</t>
  </si>
  <si>
    <t xml:space="preserve">	IMT Lille Douai</t>
  </si>
  <si>
    <t>F  LILLE91</t>
  </si>
  <si>
    <t>laurent.baudry@imt-lille-douai.fr</t>
  </si>
  <si>
    <t>Laurent Baudry</t>
  </si>
  <si>
    <r>
      <t xml:space="preserve">Posibilidad de cursar 30 ECTS en inglés en el 2ndo semestre en la especialidad </t>
    </r>
    <r>
      <rPr>
        <i/>
        <sz val="8"/>
        <rFont val="Arial"/>
        <family val="2"/>
      </rPr>
      <t xml:space="preserve">Embedded Systems and Information Systems: http://imt-lille-douai.fr/formations/toutes-les-formations/semester-for-exchange-students/advanced-construction-materials-in-their-environment-acme/
Cybersecurity engineering: semestre de otoño se imparte totalmente en inglés </t>
    </r>
  </si>
  <si>
    <t>International Coordinator: Karine Kominiarz-karine.kominiarz@imt-lille-douai.fr</t>
  </si>
  <si>
    <t>ESIT</t>
  </si>
  <si>
    <t>Université Claude Bernard Lyon 1 - Polytech Lyon</t>
  </si>
  <si>
    <t xml:space="preserve">	Université Claude Bernard Lyon 1</t>
  </si>
  <si>
    <t xml:space="preserve">Lyon </t>
  </si>
  <si>
    <t>F  LYON01</t>
  </si>
  <si>
    <t>benedicte.marti@univ-lyon1.fr</t>
  </si>
  <si>
    <t>Bénédicte MARTI</t>
  </si>
  <si>
    <t>FRANCÉS B2</t>
  </si>
  <si>
    <t xml:space="preserve">
</t>
  </si>
  <si>
    <t>nuevo acuerdo firmado junio 2022</t>
  </si>
  <si>
    <t>Centrale Lyon</t>
  </si>
  <si>
    <t xml:space="preserve">	Ecole Centrale Lyon</t>
  </si>
  <si>
    <t>Lyon</t>
  </si>
  <si>
    <t>F  LYON11</t>
  </si>
  <si>
    <t>27 de marzo</t>
  </si>
  <si>
    <t>03.27</t>
  </si>
  <si>
    <t>30 de octubre</t>
  </si>
  <si>
    <t>julia.esline@ec-lyon.fr</t>
  </si>
  <si>
    <t>Julia ESLINE</t>
  </si>
  <si>
    <t>INGLÉS B2 (TOEFL 96 / TOEIC 825 / IELTS 7 / Cambridge 173 / Duolinguo 120)</t>
  </si>
  <si>
    <t>3 students for the double degree programme / Los alumnos deben tener 180 ECTS aprobados (mobilidad a partir de 4º curso)</t>
  </si>
  <si>
    <t>nuevo acuerdo octubre 2022</t>
  </si>
  <si>
    <t>INSA Lyon</t>
  </si>
  <si>
    <t xml:space="preserve">	Institut National des Sciences Appliquées de Lyon</t>
  </si>
  <si>
    <t>F  LYON12</t>
  </si>
  <si>
    <t xml:space="preserve">21 de abril (nomination) - 28 abril (application) </t>
  </si>
  <si>
    <t>04.21</t>
  </si>
  <si>
    <t>04.28</t>
  </si>
  <si>
    <t>16 de octubre (nomination) - 27 de octubre (application)</t>
  </si>
  <si>
    <t>10.27</t>
  </si>
  <si>
    <t>welcome3@insa-lyon.fr</t>
  </si>
  <si>
    <t>Merve TEMEL/ Amina Bertrand</t>
  </si>
  <si>
    <t xml:space="preserve">http://www.insa-lyon.fr/en/exchange-students /  English course catalogue: https://www.insa-lyon.fr/en/information-science-technology-semester-ist
2 alumnos/as  para teleco - 2 alumnos/as para bio - 2 alumnos/as para datos </t>
  </si>
  <si>
    <t>713 Electronics Engineering</t>
  </si>
  <si>
    <t>Institutional Erasmus Coordinator: Dr Marie Pierre Favre: erasmus@insa-lyon.fr</t>
  </si>
  <si>
    <t>UPM</t>
  </si>
  <si>
    <t>Acuerdo: con ETSII:Electrical Engineering/ ETSInf: Computers Sciences</t>
  </si>
  <si>
    <t>Centrale Méditerranée</t>
  </si>
  <si>
    <t xml:space="preserve">	Ecole Centrale Marseille</t>
  </si>
  <si>
    <t>Marseille</t>
  </si>
  <si>
    <t>F  MARSEIL11</t>
  </si>
  <si>
    <t>1 de diciembre</t>
  </si>
  <si>
    <t>incoming@centrale-marseille.fr</t>
  </si>
  <si>
    <t>Ms. Séverine Lumeau</t>
  </si>
  <si>
    <t xml:space="preserve">FRANCÉS B1  </t>
  </si>
  <si>
    <t>Université de Lorraine - École des Mines de Nancy - Telecom Nancy</t>
  </si>
  <si>
    <t xml:space="preserve">	[no longer existing] Université de Lorraine</t>
  </si>
  <si>
    <t>Nancy</t>
  </si>
  <si>
    <t>F  NANCY43</t>
  </si>
  <si>
    <t>Mines Nancy 30 de marzo (nomination) 13 de abril (application) / Telecom Nancy 15 de mayo (nomination) 31 de mayo (application)</t>
  </si>
  <si>
    <t xml:space="preserve">03.30 </t>
  </si>
  <si>
    <t>04.13</t>
  </si>
  <si>
    <t>Mines Nancy: 30 de octubre (nomination) 9 de noviembre (application)</t>
  </si>
  <si>
    <t>11.09</t>
  </si>
  <si>
    <t>Electrical Engineering (Electronics and Automation) /  Biomedical Engineering (Medical Diagnosticand Treatment Technology) / Computer Science ICTs</t>
  </si>
  <si>
    <t>marie-christine.viry@univ-lorraine.fr</t>
  </si>
  <si>
    <t xml:space="preserve">Marie-Christine VIRY </t>
  </si>
  <si>
    <t>3 plazas para Telecom Nancy y 3 plazas para Écoles des Mines de Nancy. 
Écoles des Mines de Nancy: MSc in Security of Computer Systems and Big Data and Data Science : http://mines-nancy.univ-lorraine.fr/content/master-science-msc-security-computer-systems.  http://www.mines-nancy.univ-lorraine.fr/node/242 
Telecom Nancy: solo área 0610 (ICTs) para estudiantes de teleco y datos</t>
  </si>
  <si>
    <t>610 Computer Science/ 713 Electronics Engineering/ 714 Electrical Engineering/ 914 Biomedical Engineering</t>
  </si>
  <si>
    <t>TELECOM - ECOLE DE MINES DE NANCY</t>
  </si>
  <si>
    <t>TELECOM: Hervé Panetto, Head of Telecom's international relations: contact-international@telecommancy.eu/ ECOLE DES MINES DE NANCY: Dr. Alexandre Nominé, Directerur de L'action internationale: mines-nancy-dai@univ-lorraine.fr</t>
  </si>
  <si>
    <t>Acuerdo: 0714  Electrical and Electronic Engineering</t>
  </si>
  <si>
    <t xml:space="preserve">Université de Nantes - Polytech Nantes </t>
  </si>
  <si>
    <t xml:space="preserve">	Nantes Université</t>
  </si>
  <si>
    <t>Nantes</t>
  </si>
  <si>
    <t>F  NANTES01</t>
  </si>
  <si>
    <t>30 de abril (nomination ) 15 de mayo (application)</t>
  </si>
  <si>
    <t>31 de octubre (nomination) - 15 de noviembre (application)</t>
  </si>
  <si>
    <t>international.accueil@univ-nantes.fr</t>
  </si>
  <si>
    <t>Se puede desdoblar el número de meses</t>
  </si>
  <si>
    <t>Electricity and Energy (713) / Electronics and Automation (714)</t>
  </si>
  <si>
    <t>Mr Luc Loron (Departmental Coordinator)</t>
  </si>
  <si>
    <t>firma: AA // UPM (varias Escuelas)</t>
  </si>
  <si>
    <t>Centrale Nantes</t>
  </si>
  <si>
    <t xml:space="preserve">	Ecole Centrale Nantes</t>
  </si>
  <si>
    <t>F  NANTES07</t>
  </si>
  <si>
    <t>15 de octubre (nomination) 30 de octubre (application)</t>
  </si>
  <si>
    <t>international@ec-nantes.fr</t>
  </si>
  <si>
    <t>Clémentine Houssais</t>
  </si>
  <si>
    <t xml:space="preserve">3 students for the double degree programme / Asignaturas de Master en inglés </t>
  </si>
  <si>
    <t>26/08/2024: se modifica plazas erasmus de 2 movilidades a 1 movilidad student</t>
  </si>
  <si>
    <t>Electronic Engineering, Telecommunication (06.5 (523))</t>
  </si>
  <si>
    <t>firmas: AA + MPG</t>
  </si>
  <si>
    <t>IMT Atlantique</t>
  </si>
  <si>
    <t>Brest-Nantes-Rennes</t>
  </si>
  <si>
    <t>F  NANTES80</t>
  </si>
  <si>
    <t>mob-out-europe@imt-atlantique.fr</t>
  </si>
  <si>
    <t xml:space="preserve">Françoise GUELENNOC </t>
  </si>
  <si>
    <t xml:space="preserve">FRANCÉS B1 o INGLÉS B2
  </t>
  </si>
  <si>
    <t>no está?</t>
  </si>
  <si>
    <t>Institut d'Optique Théorique et Appliquée</t>
  </si>
  <si>
    <t xml:space="preserve">	Institut d'Optique Théorique et Appliquée</t>
  </si>
  <si>
    <t>Palaiseau</t>
  </si>
  <si>
    <t>F  ORSAY02</t>
  </si>
  <si>
    <t>eirini.papagiannouli@institutoptique.fr</t>
  </si>
  <si>
    <t xml:space="preserve">Eirini Papagiannouli </t>
  </si>
  <si>
    <t>FRANCÉS B1 o FRANCÉS B2  o INGLÉS B2</t>
  </si>
  <si>
    <t>Se puede dividir el número de meses</t>
  </si>
  <si>
    <t>Electrical and Electronics Engineering (714)</t>
  </si>
  <si>
    <t>firmas: AA + LSA</t>
  </si>
  <si>
    <t>ENSTA Paris</t>
  </si>
  <si>
    <t xml:space="preserve">	Ecole Nationale Supérieure de Techniques Avancées</t>
  </si>
  <si>
    <t>F  PARIS080</t>
  </si>
  <si>
    <t>15 de abril (nomination- application)</t>
  </si>
  <si>
    <t>31 de octubre</t>
  </si>
  <si>
    <t xml:space="preserve"> annika.godefroy@ensta.fr</t>
  </si>
  <si>
    <t>Annika GODEFROY</t>
  </si>
  <si>
    <t xml:space="preserve">FRANCÉS B1 </t>
  </si>
  <si>
    <t>Para TFG o TFM, una vez asignada la plaza, el alumno debe buscar un tutor</t>
  </si>
  <si>
    <r>
      <t xml:space="preserve">DT válido hasta 2019-2020 </t>
    </r>
    <r>
      <rPr>
        <b/>
        <sz val="8"/>
        <rFont val="Arial"/>
        <family val="2"/>
      </rPr>
      <t>- Se puede dividir el número de meses</t>
    </r>
  </si>
  <si>
    <t>Electronics Engineering (523)</t>
  </si>
  <si>
    <t>Mines Paris - PSL University</t>
  </si>
  <si>
    <t xml:space="preserve">	Ecole des Mines de Paris</t>
  </si>
  <si>
    <t>F  PARIS081</t>
  </si>
  <si>
    <t>15 abril (nomination )- 30 de abril (application) (exchange prog)</t>
  </si>
  <si>
    <t>19 de septiembre(nomination)- 29 de septiembre (application)</t>
  </si>
  <si>
    <t>09.19</t>
  </si>
  <si>
    <t>09.29</t>
  </si>
  <si>
    <t>international@minesparis.psl.eu; cooperation@minesparis.psl.eu</t>
  </si>
  <si>
    <t xml:space="preserve">Manon Tissier, Victoire Hazoumé </t>
  </si>
  <si>
    <t>FRANCÉS B1 (TEF (204); DELF (A2); TCF (200) or certificate from hom University) o INGLÉS B1 (TOEIC, TOEFL, Cambridge and those provided by partner universities). For Double Degree students, a B1 in French is required.</t>
  </si>
  <si>
    <t xml:space="preserve">Para el Máster de Science and Executive Engineering se precisa Francés B1. No se puede solicitar para irse en 3er curso de grado. Para doble titulación: students have to choose a minor through their application and validate  120 ECTS (including 90 ECTS for courses, 6 ECTS for the compulsory internship and 24 ECTS for the minor final project) / forma parte de EELISA (Paris Sciences et Lettres - PSL) </t>
  </si>
  <si>
    <t>DT válido hasta 2022-2023 / se va Alma Catalá abril 2024 / Se quita el área de bio /Se firma un joint degree en el marco de EELISA con ESPCI</t>
  </si>
  <si>
    <t>Electrical and Telecommunications Engineering (06.5), Medical Technology (725)</t>
  </si>
  <si>
    <t>Telecom Paris</t>
  </si>
  <si>
    <t>TELECOM Paris</t>
  </si>
  <si>
    <t>F  PARIS083</t>
  </si>
  <si>
    <t>Electrical Engineering:  (Electricity and Energy); (Electronics and Automation) / Biomedical Engineering (Medical Diagnosticand TreatmentTechnology) / Computer Science ICTs</t>
  </si>
  <si>
    <t>incoming@telecom-paris.fr</t>
  </si>
  <si>
    <t>FRANCÉS A2 o INGLÉS B2</t>
  </si>
  <si>
    <t>FRANCÉS A2 (Baccalaureat; TCF; TFI 255-400;  DELF) o ENGLISH B2 (TOEFL; IELTS 5.5; TOEIC: 750;  CAE)</t>
  </si>
  <si>
    <t>Para alumnos de DT la nota media deberá ser mínimo 7.0. Solo se pueden elegir asignaturas que pertenecen al programa "Diplôme d'ingénieur" (Master of Science in Engineering). For non degree student, students must include a minimum of 20 ECTS per semester / Programas Internacionales VRI UPM 2026-27.pdf / No se puede ir en 3er curso</t>
  </si>
  <si>
    <t>DT válido hasta 2018-19 / Claude Allafort, responsable incoming, se va de Telecom Paris en noviembre 2026</t>
  </si>
  <si>
    <t>Electronic, Computer, Information, Telecommunication, Telematics Engineering, Biomedical Engineering (713, 714, 914)</t>
  </si>
  <si>
    <t>ECE Engineering School</t>
  </si>
  <si>
    <t xml:space="preserve">	Ecole Centrale d'Electronique</t>
  </si>
  <si>
    <t>F  PARIS222</t>
  </si>
  <si>
    <t>1 de mayo (nominatio) - 15 de mayo (application)</t>
  </si>
  <si>
    <t>3 de octubre (nomination) - 10 de octubre (application)</t>
  </si>
  <si>
    <t>10.03</t>
  </si>
  <si>
    <t>international@ece.fr; fmahe@ece.fr</t>
  </si>
  <si>
    <t>François Mahé</t>
  </si>
  <si>
    <t>INGLÉS B2 (IELTS 6.0; TOEFL 83; TOEIC 780)</t>
  </si>
  <si>
    <t>Se puede solicitar para un curso completo o 1er semestre</t>
  </si>
  <si>
    <t>nuevo acuerdo firmado en febrero 2022</t>
  </si>
  <si>
    <t>Sorbonne Université</t>
  </si>
  <si>
    <t>F  PARIS468</t>
  </si>
  <si>
    <t>ER/EIT HEALTH</t>
  </si>
  <si>
    <t>erasmus@upmc.fr</t>
  </si>
  <si>
    <t>Christine Ozouf</t>
  </si>
  <si>
    <t>INGLÉS B2 o FRANCÉS B1</t>
  </si>
  <si>
    <t>INGLÉS B2 (aceptan el certificado del departamento de lingüística)</t>
  </si>
  <si>
    <t>PRIORIDAD ALUMNOS PROGRAMA EIT HEALTH</t>
  </si>
  <si>
    <t xml:space="preserve">Se pueden juntar los meses </t>
  </si>
  <si>
    <t>Université de Strasbourg - Telecom physique</t>
  </si>
  <si>
    <t xml:space="preserve">	Université de Strasbourg</t>
  </si>
  <si>
    <t>Strasbourg</t>
  </si>
  <si>
    <t>F  STRASBO48</t>
  </si>
  <si>
    <t>4 de mayo (nomination) - 10 de mayo (application)</t>
  </si>
  <si>
    <t>05.04</t>
  </si>
  <si>
    <t>2 de noviembre (nomination) - 15 de noviembre (application)</t>
  </si>
  <si>
    <t>11.02</t>
  </si>
  <si>
    <t>dri-europe-incoming-students@unistra.fr</t>
  </si>
  <si>
    <t>Alicia KAEMMERLE</t>
  </si>
  <si>
    <t>nuevo acuerdo 2024</t>
  </si>
  <si>
    <t>École Nationale d'Ingénieurs de Tarbes</t>
  </si>
  <si>
    <t>Ecole Nationale d'Ingénieurs de Tarbes</t>
  </si>
  <si>
    <t>Tarbes</t>
  </si>
  <si>
    <t>F  TARBES03</t>
  </si>
  <si>
    <t>15 de diciembre</t>
  </si>
  <si>
    <t>dridir@enit.fr</t>
  </si>
  <si>
    <t>Carmen Martin</t>
  </si>
  <si>
    <t>Electronic Engineering (714 (523))</t>
  </si>
  <si>
    <t>Institut National des Sciences Appliquées de Toulouse INSA Toulouse</t>
  </si>
  <si>
    <t>Institut National des Sciences Appliquees de Toulouse</t>
  </si>
  <si>
    <t>Toulouse</t>
  </si>
  <si>
    <t>F  TOULOUS14</t>
  </si>
  <si>
    <t>28 de marzo (nomination) - 10 de abril (application)</t>
  </si>
  <si>
    <t>03.28</t>
  </si>
  <si>
    <t xml:space="preserve"> 7 de noviembre (nomination) - 10 de noviembre (application)</t>
  </si>
  <si>
    <t>11.07</t>
  </si>
  <si>
    <t>Electrical Engineering:  (Electricity and Energy); (Electronics and Automation)</t>
  </si>
  <si>
    <t>relint.incoming@insa-toulouse.fr</t>
  </si>
  <si>
    <t xml:space="preserve">FRANCÉS B1 o INGLÉS B1 </t>
  </si>
  <si>
    <t>Asignaturas principalmente en francés excepto algunos Master y asignaturas de grado del 2º semestre. http://www.insa-toulouse.fr/en/international/studying-at-insa-toulouse/programmes_in_english.html / DT (Diplôme d'ingénieur de l'INSA Toulouse) con 2 opciones: 1. 4º curso de grado + 2º de MUIT o 2. 2º curso de MUIT (2 años)</t>
  </si>
  <si>
    <t>Para DT: 3 alumnos DT // En diciembre del 2025 nos comentó un alumno de DT que si se supende una asignatura en destino te hacen repetir todas las asignaturas el curso siguiente.</t>
  </si>
  <si>
    <t>(no se indica)</t>
  </si>
  <si>
    <t>Pierre-Emmanuel Hladik (Departmental Coordinator)</t>
  </si>
  <si>
    <t>ISAE-SUPAERO</t>
  </si>
  <si>
    <t xml:space="preserve">	Institut Supérieur de l’Aéronautique et de l’Espace (ISAE-SUPAERO)</t>
  </si>
  <si>
    <t>F  TOULOUS16</t>
  </si>
  <si>
    <t>1 de octubre (nomination)-15 de octubre (application)</t>
  </si>
  <si>
    <t>admission-ingenieur@isae-supaero.fr; outgoing.df@isae-supaero.fr; international@isae-supaero.fr</t>
  </si>
  <si>
    <t>JUNTO CON  Inglés B2 para alumnos DT</t>
  </si>
  <si>
    <t>Para alumnos de grado, no es posible realizar asignaturas en el 2ndo semestre. Para alumnos de DT, es posible realizar asignaturas durante todo el año académico. La DT (4 semestres) se puede empezar en el segundo curso de MUIT o 4º de GITST (+ 2ndo de MUIT)</t>
  </si>
  <si>
    <t>DT renovado en octubre 2020 válido hasta 2024/25</t>
  </si>
  <si>
    <t>Engineering &amp; Engineering Trades (071)</t>
  </si>
  <si>
    <t>ENSICA</t>
  </si>
  <si>
    <t>F  TOULOUS17</t>
  </si>
  <si>
    <t>15 de marzo (preincripción online)</t>
  </si>
  <si>
    <t xml:space="preserve">30 de abril(nomination) </t>
  </si>
  <si>
    <t>chantal.dabrainville@isae.fr</t>
  </si>
  <si>
    <t>Chantal Dabrainville</t>
  </si>
  <si>
    <t>INPT Inst. Nat. Polytechnique de Toulouse ENSEEIHT</t>
  </si>
  <si>
    <t xml:space="preserve">	Institut National Polytechnique de Toulouse</t>
  </si>
  <si>
    <t>F  TOULOUS28</t>
  </si>
  <si>
    <t>7 de abril (nomination) - 1 de mayo (application)</t>
  </si>
  <si>
    <t>04.07</t>
  </si>
  <si>
    <t>30 de octubre (nomination) 15 de noviembre (application)</t>
  </si>
  <si>
    <t>international.enseeiht@toulouse-inp.fr; isabelle.simon@toulouse-inp.fr</t>
  </si>
  <si>
    <t>Isabelle SIMON</t>
  </si>
  <si>
    <t>INGLÉS B2 O FRANCÉS B1</t>
  </si>
  <si>
    <t xml:space="preserve">No aparece la calificación oficial del TFT en el transcript of records. Para DT el Master es Electronic systems for embedded communications and applications (en inglés) / courses catalogue: http://www.enseeiht.fr/fr/formation/formation-ingenieur-1/etudiant-1a-ou-2a.html / OJO: Un alumno de movilidad no puede realizar unas prácticas en una emprea extrerna, unicamente en un laboratorio de la ENSEEIHT. Esta norma no se aplica a alumnos de doble titulación / Posibilidad de hacer Máster ESECA de 1 año: tuition fees 5000€ / DT se puede empezar en el 4º curso GITST (no es el ESECA) </t>
  </si>
  <si>
    <t>DT renovado en junio 2019 válido hasta 2023/24</t>
  </si>
  <si>
    <t>Electronics-Telecommunications (523)</t>
  </si>
  <si>
    <t>INSA - Université Polytechnique Hauts-de-France UPHF (GRADO)</t>
  </si>
  <si>
    <t xml:space="preserve">	Université Polytechnique Hauts-de-France</t>
  </si>
  <si>
    <t>Valenciennes</t>
  </si>
  <si>
    <t>F  VALENCI01</t>
  </si>
  <si>
    <t>15 de noviembre (nomination) - 30 de noviembre (application)</t>
  </si>
  <si>
    <t>erasmus@uphf.fr</t>
  </si>
  <si>
    <t>Estelle Le Meur</t>
  </si>
  <si>
    <t xml:space="preserve">Bachelor https://formations.uphf.fr/cdm/cursus/licence3 </t>
  </si>
  <si>
    <t>acuerdo erasmus para bachelor degree students</t>
  </si>
  <si>
    <t>Engineering &amp; Engineering Trades (071), Electrical Engineering (714)</t>
  </si>
  <si>
    <t>Pr. Dominique Deneux (Departmental Coordinator)</t>
  </si>
  <si>
    <t>INSA - Université Polytechnique Hauts-de-France UPHF (MASTER)</t>
  </si>
  <si>
    <t>F  VALENCI21</t>
  </si>
  <si>
    <t>Master: https://formations.uphf.fr/cdm/cursus/master</t>
  </si>
  <si>
    <t>acuerdo erasmus para master degree students</t>
  </si>
  <si>
    <t>University of West Attica</t>
  </si>
  <si>
    <t xml:space="preserve">	University of West Attica</t>
  </si>
  <si>
    <t>Egaleo-Athina</t>
  </si>
  <si>
    <t xml:space="preserve">G  EGALEO02 </t>
  </si>
  <si>
    <t>GR</t>
  </si>
  <si>
    <t>31 de mayo</t>
  </si>
  <si>
    <t>erasmus_incomingstudents@uniwa.gr</t>
  </si>
  <si>
    <t xml:space="preserve">Nefeli Koniordou, Georgia Douma, Chrysa Konti </t>
  </si>
  <si>
    <t>https://erasmus.uniwa.gr/en/erasmus/course-catalogue/ ;  https://erasmus.uniwa.gr/wp-content/uploads/sites/159/2021/02/FACT-SHEET-UNIWA.pd</t>
  </si>
  <si>
    <t>El TFG no se hace porque es de 30 ECTS</t>
  </si>
  <si>
    <t>Politecnico di Bari</t>
  </si>
  <si>
    <t xml:space="preserve">	Politecnico di Bari</t>
  </si>
  <si>
    <t>Bari</t>
  </si>
  <si>
    <t>I  BARI05</t>
  </si>
  <si>
    <t>IT</t>
  </si>
  <si>
    <t>luisa.nasta@poliba.it; rosilda.sammarco@poliba.it</t>
  </si>
  <si>
    <t>Luisa Nasta; Rosilda Sammarco</t>
  </si>
  <si>
    <t>ITALIANO B1</t>
  </si>
  <si>
    <t>Università degli Studi di Cagliari</t>
  </si>
  <si>
    <t xml:space="preserve">	Università degli Studi di Cagliari</t>
  </si>
  <si>
    <t>Cagliari</t>
  </si>
  <si>
    <t>I  CAGLIAR01</t>
  </si>
  <si>
    <t>30 de junio</t>
  </si>
  <si>
    <t>Electrical Engineering (Electronics and Automation) / Biomedical Engineering (Medical Diagnosticand Treatment Technology) / Computer Science (Information and CommunicationTechnologies)</t>
  </si>
  <si>
    <t>erasmus@unica.it</t>
  </si>
  <si>
    <t>Anna Maria Aloi</t>
  </si>
  <si>
    <t>Università degli Studi di Firenze</t>
  </si>
  <si>
    <t>Florencia</t>
  </si>
  <si>
    <t>I  FIRENZE01</t>
  </si>
  <si>
    <t>31 de mayo (nomination) - 30 de junio (application)</t>
  </si>
  <si>
    <t>international@ingegneria.unifi.it</t>
  </si>
  <si>
    <t>Laura Galli</t>
  </si>
  <si>
    <t>ITALIANO B1 o INGLÉS B2</t>
  </si>
  <si>
    <t>La defensa del TFG se realizará en la ETSIT respetando su normativa y proceso de matriculación.</t>
  </si>
  <si>
    <t>Politecnico di Milano</t>
  </si>
  <si>
    <t>Milán</t>
  </si>
  <si>
    <t>I  MILANO02</t>
  </si>
  <si>
    <t>18 o 24 Meses</t>
  </si>
  <si>
    <t>30  de abril - 21 de abril</t>
  </si>
  <si>
    <t>21 de octubre</t>
  </si>
  <si>
    <t>10.21</t>
  </si>
  <si>
    <t>Electrical Engineering (Electronics and Automation) / Biomedical Engineering (Medical Diagnosticand Treatment Technology) / Computer Science (Information and Communication Technologies)</t>
  </si>
  <si>
    <t xml:space="preserve">erasmus-agreements@polimi.it  </t>
  </si>
  <si>
    <t>Isabella Bontempi</t>
  </si>
  <si>
    <t>INGLÉS B2 / DT INGLÉS TOEFL IBT 78 (Special Home Edition aceptado) - TOEIC 720 (only listening and reading) - IELTS 6.0 - Cambridge FCE/CAE/PCE - Trinity College ISE II</t>
  </si>
  <si>
    <r>
      <t xml:space="preserve">INGLÉS para asignaturas de Master / Para DT típicamente 120 ECTS, pero permiten reconocer hasta 30 ECTS. Para DT con </t>
    </r>
    <r>
      <rPr>
        <b/>
        <i/>
        <sz val="8"/>
        <rFont val="Arial"/>
        <family val="2"/>
      </rPr>
      <t xml:space="preserve">Master of Computer Science se requiere nota media de 24/30 (sistema de calificación italiano) = 7,5 UPM / Para el TFM/TFG, no hay calificación oficial en el transcript of records, se debe pedir al Profesor  Supervisor que constituye un tribunal y se pide una evaluación final </t>
    </r>
  </si>
  <si>
    <t>No se puede dividir el número de plazas. Aumentamos plazas de movilidad de 4 a 8. Acuerdo DT renovado en 2024</t>
  </si>
  <si>
    <t>La OI lo descarga de la plataforma del PoliMi</t>
  </si>
  <si>
    <t>Universitá degli Studi di Napoli Federico II</t>
  </si>
  <si>
    <t xml:space="preserve">	Università degli Studi di Napoli Federico II</t>
  </si>
  <si>
    <t>Napoles</t>
  </si>
  <si>
    <t>I  NAPOLI01</t>
  </si>
  <si>
    <t>15 de junio (application)</t>
  </si>
  <si>
    <t xml:space="preserve">international@unina.it; erasmus.dieti@unina.it; incoming@unina.it </t>
  </si>
  <si>
    <t xml:space="preserve">Posibilidad de hacer TFG en inglés. </t>
  </si>
  <si>
    <t>Universitá degli Studi di Napoli "Parthenope"</t>
  </si>
  <si>
    <t>Università degli Studi di Napoli ‘Parthenope’</t>
  </si>
  <si>
    <t>I  NAPOLI03</t>
  </si>
  <si>
    <t>15 de mayo (nomination) - 30 de junio (application)</t>
  </si>
  <si>
    <t xml:space="preserve">1 de septiembre (nomination) - 30 de noviembre (application) </t>
  </si>
  <si>
    <t>09.01</t>
  </si>
  <si>
    <t>erasmus.incomingoffice@uniparthenope.it; erasmus.outgoingoffice@uniparthenope.it</t>
  </si>
  <si>
    <t>ITALIANO A2 o INGLÉS B2</t>
  </si>
  <si>
    <t>www.ingegnieria.uniparthenope.it/didattica</t>
  </si>
  <si>
    <t>Università La Sapienza</t>
  </si>
  <si>
    <t xml:space="preserve">	Università degli Studi di Roma 'La Sapienza'</t>
  </si>
  <si>
    <t>Roma</t>
  </si>
  <si>
    <t>I  ROMA01</t>
  </si>
  <si>
    <t>15 de mayo (nomination) - 15 de junio (application)</t>
  </si>
  <si>
    <t>15 de octubre (nomination) - 15 de noviembre (application)</t>
  </si>
  <si>
    <t>erasmusincoming@uniroma1.it</t>
  </si>
  <si>
    <t>Paola Vanorio</t>
  </si>
  <si>
    <t xml:space="preserve">ITALIANO B1 o INGLÉS B2 </t>
  </si>
  <si>
    <t>(aceptan TOEIC con 2 competencias)</t>
  </si>
  <si>
    <t xml:space="preserve">La defensa del TFG se realizará en la ETSIT respetando su normativa y proceso de matriculación. www.facebook.com/SapienzaExchangeStudents </t>
  </si>
  <si>
    <t>16/04/24: Se pide añadir el área de computer science (Manuel Gil) para 2 alumnos 12 meses. TOTAL: 2*12 714 + 2*12 610</t>
  </si>
  <si>
    <t>Certificado solo por email</t>
  </si>
  <si>
    <t>Università degli Studi di Roma 'Tor Vergata'</t>
  </si>
  <si>
    <t xml:space="preserve">	Università degli Studi di Roma ‘Tor Vergata’</t>
  </si>
  <si>
    <t>I  ROMA02</t>
  </si>
  <si>
    <t>15 de junio (nomination) - 30 de junio (application)</t>
  </si>
  <si>
    <t>Daniela Mannino</t>
  </si>
  <si>
    <t>nuevo acuerdo firmado en febrero 2023</t>
  </si>
  <si>
    <t>Università degli Studi di Padova</t>
  </si>
  <si>
    <t>Padova</t>
  </si>
  <si>
    <t>I  PADOVA01</t>
  </si>
  <si>
    <t>15 de marzo al 30 de abril (nomination ) - 15 de mayo (application step 1) y 15 de junio (application step 3)</t>
  </si>
  <si>
    <t>15.03</t>
  </si>
  <si>
    <t>05.15 y 06.15</t>
  </si>
  <si>
    <t>1 de septiembre al 15 de octubre (nomination) -31 de octubre (step 1)- 30 de noviembre (application)</t>
  </si>
  <si>
    <t>erasmus.incoming@unipd.it; international@dei.unipd.it; mobility.in@unipd.it (DT)</t>
  </si>
  <si>
    <t xml:space="preserve"> Caroline Sophie Witte, Sara Mazzoli</t>
  </si>
  <si>
    <t>ITALIANO A2 o INGLÉS B1</t>
  </si>
  <si>
    <t xml:space="preserve"> for DT INGLÉS B2 (certificate from Lingüistic Department at ETSIT is accepted) INGLÉS B1 (certificate from Lingüistic Department at ETSIT is accepted) /</t>
  </si>
  <si>
    <t xml:space="preserve">2 alumnos para 914 - Biomedical Engineering y 2 alumnos para 714 - Electrical Engineering / Para alumnos de DT: 42 credits must be from technical subjects (subjects that are in the official study plan), the rest of credits (18 ECTS) may be chosen from other dpt of Padova University (may be language courses or internships) / 30 credits must be from "characterizing" ("caratterizzanti" in Italian) subjects. Those are the courses with one of the following label:
 - signal processing
 - telecommunications
 - electromagnetism
 - networks
final project of track 005PD (international mobility) that is worth 30 credits (the standard final thesis of 18 ECTS credits is for Italian
students that do not go abroad) </t>
  </si>
  <si>
    <t xml:space="preserve">Para alumnos de doble título, nominar a elisa.zambon@unipd.it / Acuerdo DT renovado en diciembre 2024   </t>
  </si>
  <si>
    <t>University of Rome Campus Bio-Medico – UCBM</t>
  </si>
  <si>
    <t>I  ROMA14</t>
  </si>
  <si>
    <t>1 de mayo (nomination) - 1 de junio (application)</t>
  </si>
  <si>
    <t>Erasmus@unicampus.it</t>
  </si>
  <si>
    <t>Claudia Zanetti</t>
  </si>
  <si>
    <t>Universitá degli Studi di Pavia</t>
  </si>
  <si>
    <t>Università degli Studi di Pavia</t>
  </si>
  <si>
    <t>Pavia</t>
  </si>
  <si>
    <t>I  PAVIA01</t>
  </si>
  <si>
    <t>Biomedical Engineering (Medical Diagnosticand Treatment Technology) / Electrical Engineering (Electricity and Energy) / Computer Science (Information and CommunicationTechnologies)</t>
  </si>
  <si>
    <t>incoming.erasmus@unipv.it</t>
  </si>
  <si>
    <t>asignaturas de Máster en inglés</t>
  </si>
  <si>
    <t>se añade el área de computer science en enero 2023</t>
  </si>
  <si>
    <t>Università degli studi Roma Tre</t>
  </si>
  <si>
    <t>Università degli Studi Roma Tre</t>
  </si>
  <si>
    <t>I  ROMA16</t>
  </si>
  <si>
    <t>1 de junio (nomination) - 15 de junio (application)</t>
  </si>
  <si>
    <t>incoming.students@uniroma3.it; outgoing.students@uniroma3.it; cristina.ponti@uniroma3.it</t>
  </si>
  <si>
    <t>Cristina Ponti</t>
  </si>
  <si>
    <t xml:space="preserve">En el OLA, poner el contacto de la persona responsable del departamento: para bio cristina.ponti@uniroma3.it </t>
  </si>
  <si>
    <t>Se ha quitado el TFM de la Oferta porque en el 25/26 le han dicho a un alumno que no se oferta</t>
  </si>
  <si>
    <t>Politecnico di Torino</t>
  </si>
  <si>
    <t>Turín</t>
  </si>
  <si>
    <t>I  TORINO02</t>
  </si>
  <si>
    <t>4 de mayo - 8 de mayo</t>
  </si>
  <si>
    <t>05.08</t>
  </si>
  <si>
    <t>incoming.students@polito.it</t>
  </si>
  <si>
    <t>ITALIANO B2 o INGLÉS B2</t>
  </si>
  <si>
    <r>
      <rPr>
        <b/>
        <sz val="8"/>
        <color rgb="FFFF0000"/>
        <rFont val="Arial"/>
        <family val="2"/>
      </rPr>
      <t xml:space="preserve"> INGLÉS B2: IELTS 5.5 o TOEFL 72 IbT o TOEIC Listening: 400 Reading: 385
Speaking: 160 Writing: 150 o Cambridge ESOL examinations o PEARSON 59 / A declaration from the Home University is requested during the nomination process
 (certificate of the linguistic department is accepted) 
</t>
    </r>
    <r>
      <rPr>
        <b/>
        <u val="double"/>
        <sz val="8"/>
        <color rgb="FFFF0000"/>
        <rFont val="Arial"/>
        <family val="2"/>
      </rPr>
      <t xml:space="preserve">DOUBLE/JOINT DEGREE STUDENTS
</t>
    </r>
    <r>
      <rPr>
        <b/>
        <sz val="8"/>
        <color rgb="FFFF0000"/>
        <rFont val="Arial"/>
        <family val="2"/>
      </rPr>
      <t xml:space="preserve">• DEGREE PROGRAMME (Bachelor/Master of Science) offered </t>
    </r>
    <r>
      <rPr>
        <b/>
        <u/>
        <sz val="8"/>
        <color rgb="FFFF0000"/>
        <rFont val="Arial"/>
        <family val="2"/>
      </rPr>
      <t>in Italian or partially in Italian/English</t>
    </r>
    <r>
      <rPr>
        <b/>
        <sz val="8"/>
        <color rgb="FFFF0000"/>
        <rFont val="Arial"/>
        <family val="2"/>
      </rPr>
      <t xml:space="preserve">: IELTS 5.5 or higher + PLIDA B1 or higher (All the language requirements are satisfied at the admission
• DEGREE PROGRAMME (Bachelor/Master of Science) offered </t>
    </r>
    <r>
      <rPr>
        <b/>
        <u/>
        <sz val="8"/>
        <color rgb="FFFF0000"/>
        <rFont val="Arial"/>
        <family val="2"/>
      </rPr>
      <t>in English</t>
    </r>
    <r>
      <rPr>
        <b/>
        <sz val="8"/>
        <color rgb="FFFF0000"/>
        <rFont val="Arial"/>
        <family val="2"/>
      </rPr>
      <t xml:space="preserve">: IELTS 5.5 or higher (PLIDA A2 or passing Italian language level A2 at Polito)
</t>
    </r>
    <r>
      <rPr>
        <b/>
        <u val="double"/>
        <sz val="8"/>
        <color rgb="FFFF0000"/>
        <rFont val="Arial"/>
        <family val="2"/>
      </rPr>
      <t xml:space="preserve">EXCHANGE STUDENTS (mobility for courses/courses and final project/final project/Research)
</t>
    </r>
    <r>
      <rPr>
        <b/>
        <sz val="8"/>
        <color rgb="FFFF0000"/>
        <rFont val="Arial"/>
        <family val="2"/>
      </rPr>
      <t>Language of teaching of the courses/activities included in the proposal of Learning Agreement: ITALIAN (B2 level) / ENGLISH (B2 level) / ENGLISH AND ITALIAN (English-B2 level, Italian-B2 level)</t>
    </r>
  </si>
  <si>
    <r>
      <t xml:space="preserve">DT con el Máster in Communications and computer networks engineering. Para DT - 90 ECTS. El segundo año de DT, los alumnos están exentos de tasas de matricula pero deben pagar tasas requeridas por el Gobierno italiano / No se puede cursar asignaturas del 1er año de grado / Mínimo 20 créditos ECTS por semestre/ 3 alumnos para la DT / 4 alumnos en el área Biomedical Engineering y 4 alumnos en el área Electronic Engineering o Computer Science / Para el TFM/TFG, no hay calificación oficial en el transcript of records, se debe pedir al Profesor Supervisor que constituya un tribunal y se pide una evaluación final / </t>
    </r>
    <r>
      <rPr>
        <b/>
        <i/>
        <sz val="8"/>
        <color rgb="FF000000"/>
        <rFont val="Arial"/>
        <family val="2"/>
      </rPr>
      <t>Define a proposal of Learning Agreement including at least 18 creditsECTS per semester from the Degree Course for which you have been nominated</t>
    </r>
    <r>
      <rPr>
        <b/>
        <sz val="8"/>
        <color rgb="FF000000"/>
        <rFont val="Arial"/>
        <family val="2"/>
      </rPr>
      <t xml:space="preserve"> (el resto de ECTS pueden ser elegidos en otras titulaciones)</t>
    </r>
  </si>
  <si>
    <r>
      <rPr>
        <b/>
        <sz val="8"/>
        <color rgb="FFFF0000"/>
        <rFont val="Arial"/>
        <family val="2"/>
      </rPr>
      <t xml:space="preserve">DT addedndum firmado 02/07/2026 / </t>
    </r>
    <r>
      <rPr>
        <b/>
        <sz val="8"/>
        <color rgb="FF000000"/>
        <rFont val="Arial"/>
        <family val="2"/>
      </rPr>
      <t>no se puede desdoblar plazas</t>
    </r>
  </si>
  <si>
    <t>Università degli Studi di Trento</t>
  </si>
  <si>
    <t xml:space="preserve">	Università degli Studi di Trento</t>
  </si>
  <si>
    <t>Trento</t>
  </si>
  <si>
    <t>I  TRENTO01</t>
  </si>
  <si>
    <t>international@unitn.it</t>
  </si>
  <si>
    <t xml:space="preserve">  INGLÉS B2 para algunos grados con asignaturas en inglés) - ITALIANO A2 (para asignaturas en italiano)</t>
  </si>
  <si>
    <t>Algunas clases pueden pedir requisitos adicionales de idiomas:http://international.unitn.it/incoming/languagerequirements / Oferta académica en inglés: http://international.unitn.it/incoming/dss-academic-offer</t>
  </si>
  <si>
    <t>Oferta académica en inglés: http://international.unitn.it/incoming/dss-academic-offer</t>
  </si>
  <si>
    <t>University of Limerick</t>
  </si>
  <si>
    <t xml:space="preserve">	University of Limerick</t>
  </si>
  <si>
    <t>Limerick</t>
  </si>
  <si>
    <t>IRL LIMERIC01</t>
  </si>
  <si>
    <t>IE</t>
  </si>
  <si>
    <t>1 de mayo (nomination) - 31 de mayo (application)</t>
  </si>
  <si>
    <t>1 de octubre (nomination) - 31 de octubre (application)</t>
  </si>
  <si>
    <t>Incoming.erasmus@ul.ie    </t>
  </si>
  <si>
    <t>Incoming Mobility Team</t>
  </si>
  <si>
    <t>febrero 2023: solicitado a UL extender el acuerdo a 1 curso académico y añadir 610</t>
  </si>
  <si>
    <t>Electrical &amp; Telecommunications Engineering (06.5)</t>
  </si>
  <si>
    <t>Ss. Cyril and Methodius University in Skopje</t>
  </si>
  <si>
    <t>Ss. Cyril and Methodius University</t>
  </si>
  <si>
    <t>Skopje</t>
  </si>
  <si>
    <t>MK SKOPJE01</t>
  </si>
  <si>
    <t>MK</t>
  </si>
  <si>
    <t>ComputerScience (Informationand Communication Technologies)</t>
  </si>
  <si>
    <t>international@finki.ukim.mk</t>
  </si>
  <si>
    <t>Computer Science and Engineering (48)</t>
  </si>
  <si>
    <t>Prof. Dr. Suzana Loshkovska (Departmental Coordinator)</t>
  </si>
  <si>
    <t xml:space="preserve">UiT Norges Arctic university of Norway </t>
  </si>
  <si>
    <t>UNIVERSITETET I TROMSOE - NORGES ARKTISKE UNIVERSITET</t>
  </si>
  <si>
    <t>Narvik</t>
  </si>
  <si>
    <t>N  TROMSO01</t>
  </si>
  <si>
    <t>1 de junio</t>
  </si>
  <si>
    <t xml:space="preserve">15 de octubre </t>
  </si>
  <si>
    <t>admission@hjelp.uit.​no</t>
  </si>
  <si>
    <t>(IELTS or TOEFL preferIble)</t>
  </si>
  <si>
    <t>Engineering/Technology (07)</t>
  </si>
  <si>
    <t>Norwegian University of Science and Technology NTNU</t>
  </si>
  <si>
    <t>Norges Teknisk-Naturvitenskapelige Universitet</t>
  </si>
  <si>
    <t>Trondheim</t>
  </si>
  <si>
    <t>N  TRONDHE01</t>
  </si>
  <si>
    <t>15 de abril (nomination) - 1 de mayo (application)</t>
  </si>
  <si>
    <t>15 September (nomination) -  1 October (application)</t>
  </si>
  <si>
    <t>09.15</t>
  </si>
  <si>
    <t>nominations@aud.ntnu.no</t>
  </si>
  <si>
    <t>Disponible solo asignaturas de Master en inglés</t>
  </si>
  <si>
    <t>2*6: 713 // 2*6: 714</t>
  </si>
  <si>
    <t>Electrical Engineering, Telecommunication (74)</t>
  </si>
  <si>
    <t>Technische Universiteit Eindhoven</t>
  </si>
  <si>
    <t>Eindhoven</t>
  </si>
  <si>
    <t>NL EINDHOV17</t>
  </si>
  <si>
    <t>NL</t>
  </si>
  <si>
    <t>1 de septiembre (nomination) - 1 de octubre (application)</t>
  </si>
  <si>
    <t>exchange.bme@tue.nl; ee.exchange@tue.nl</t>
  </si>
  <si>
    <t>Jacqueline Hartold (biomedical engineering); Janneke Cohen (electrical engineering)</t>
  </si>
  <si>
    <t>INGLÉS C1/C2 TOEFL (Test of English as a Foreign Language)
Overall band score of at least 90 AND a minimum score of 21 for each section
We only accept the TOEFL internet-based test (iBT)
We only accept all scores from 1 test date; we do not accept MyBest Scores
For admission to the academic year 2023 - 2024 we do not accept the TOEFL iBT Special Home Edition test
IELTS (academic version)
Overall band score of at least 6.5 and a minimum of 6.0 for each section
We do not accept the IELTS online test
We only accept all scores from 1 test date; we do not accept IELTS One Skill Retake
Cambridge certificates
Proof that you have passed the C2 proficiency (formally known as Certificate of Proficiency in English CPE), with overall score 180 and a minimum of 169 in each section), or the C1 Advanced Certificate (formally known as the Certificate in Advanced English CAE) with overall score 176 and a minimum of 169 in each section
https://www.tue.nl/en/education/exchange-programs/how-to-apply/language-requirements-for-exchange-students/
The language test results may not be older than 2 years.
https://www.tue.nl/en/education/become-a-tue-student/admission-and-enrollment/language-proficiency-requirements</t>
  </si>
  <si>
    <t xml:space="preserve">2*6 en 914 y 2*6 en 714 Posibilidad de 1 alumno * 12 meses 
link para buscar supervisores para TFT: https://www.tue.nl/en/university/departments/electrical-engineering/research/ 
Para el área 714 (electrical engineering): el 50% de las asignaturas deben cursarse en Electrical Enginnering </t>
  </si>
  <si>
    <t xml:space="preserve">2x6: 714 (posibilidad de 1*12) // 2x6: 914 </t>
  </si>
  <si>
    <t>Electrical &amp; Telecommunications Engineering (714) / Medical Technology (914)</t>
  </si>
  <si>
    <t>hay que incluir el 1er ciclo en el acuerdo bio (y teleco si no está)</t>
  </si>
  <si>
    <t>Instituto Politécnico de Bragança</t>
  </si>
  <si>
    <t xml:space="preserve">	Instituto Politécnico de Bragança</t>
  </si>
  <si>
    <t>Bragança</t>
  </si>
  <si>
    <t>P  BRAGANC01</t>
  </si>
  <si>
    <t>PT</t>
  </si>
  <si>
    <t>1 de julio</t>
  </si>
  <si>
    <t>07.1</t>
  </si>
  <si>
    <t>sylwia@ipb.pt</t>
  </si>
  <si>
    <t>Sylwia Solczak</t>
  </si>
  <si>
    <t>PORTUGUÉS B1 o INGLÉS B1</t>
  </si>
  <si>
    <t>Prof. Luis Manuel Santo Pais: pais@ipb.pt/Sylwia Solczak Melo: sylwia@ipb.pt</t>
  </si>
  <si>
    <t>Acuerdo: Electrical &amp; Telecom. Engin</t>
  </si>
  <si>
    <t>Universidade da Beira Interior</t>
  </si>
  <si>
    <t xml:space="preserve">	Universidade da Beira Interior</t>
  </si>
  <si>
    <t>Covilhas</t>
  </si>
  <si>
    <t>P  COVILHA01</t>
  </si>
  <si>
    <t>eramus.mobilidade@ubi.pt</t>
  </si>
  <si>
    <t>Polytechnic Institute of Leiria</t>
  </si>
  <si>
    <t xml:space="preserve">	Instituto Politécnico de Leiria</t>
  </si>
  <si>
    <t>Leiria</t>
  </si>
  <si>
    <t>P  LEIRIA01</t>
  </si>
  <si>
    <t>30 de noviembre</t>
  </si>
  <si>
    <t>acecilia@ipleiria.pt</t>
  </si>
  <si>
    <t>PORTUGUÉS A2 o INGLÉS B1</t>
  </si>
  <si>
    <t>714 Electrical Engineering / 713 Electronics Engineering</t>
  </si>
  <si>
    <t xml:space="preserve">Erasmus Institutional Coordinator: Nuno André O. Mangas Pereira: gmci@ipleiria.pt/ Nadie Martins: student´s mobility International Cooperation and Mobility: nadie.martins@ipleiria.pto </t>
  </si>
  <si>
    <t>Acuerdo: 713 Eletrical Engineering,  714 Electronics and Automation</t>
  </si>
  <si>
    <t>Universidade de Lisboa* - Técnico de Lisboa</t>
  </si>
  <si>
    <t xml:space="preserve">	Universidade de Lisboa</t>
  </si>
  <si>
    <t>Lisboa</t>
  </si>
  <si>
    <t>P  LISBOA109</t>
  </si>
  <si>
    <t>14 de mayo</t>
  </si>
  <si>
    <t>05.14</t>
  </si>
  <si>
    <t>paula.lopes@tecnico.ulisboa.pt; erasmus@tecnico.ulisboa.pt</t>
  </si>
  <si>
    <t>Paula Lopes</t>
  </si>
  <si>
    <t>PORTUGUÉS B2 o INGLÉS B2</t>
  </si>
  <si>
    <t>PRIORIDAD ALUMNOS PROGRAMA EIT HEALTH 2 plazas en Electrical Engineering y Computer Science + 5 plazas en Biomedical Engineering</t>
  </si>
  <si>
    <t>LISBOA-1</t>
  </si>
  <si>
    <t>¿713 Electrical Engineering?/ 914 Biomedical Engineering</t>
  </si>
  <si>
    <t>Institutional Erasmus Coordinator: Silvia Santos: silvia.snatos@tecnico.ulisboa.pt/ Stdent Mobility Coordinators: Cristina Sousa &amp; Paula Lopez: cristina.sousa@tecnico.ulisboa.pt, paula.lopez@tecnico.ulisboa.pt</t>
  </si>
  <si>
    <t>Acuerdo: 0713 (522) Eletricity and Energy (Electrical and Computer Engineering) 0914(725) Health (Biomedical Engineering)</t>
  </si>
  <si>
    <t>Universidade de Lisboa* - Faculty of Sciences</t>
  </si>
  <si>
    <t xml:space="preserve">31 de octubre </t>
  </si>
  <si>
    <t>Electrical Engineering (Electricity and Energy) / BiomedicalEngineering (Medical Diagnosticand TreatmentTechnology)</t>
  </si>
  <si>
    <t>PORTUGUÉS B2</t>
  </si>
  <si>
    <t>2 plazas en Electrical Engineering + 2 plazas en Biomedical Engineering +  2 plazas en Earth Science</t>
  </si>
  <si>
    <t>LISBOA-2</t>
  </si>
  <si>
    <t>Departamental (Facultad)</t>
  </si>
  <si>
    <t>714 Electrical Engineering, 914 Biomedical Engineering</t>
  </si>
  <si>
    <t xml:space="preserve">Faculty of Sciences: </t>
  </si>
  <si>
    <t>The Director of the Faculty of Sciences: Prof. José Mauel Pinto Paixao / internacional@fc.ul.pt</t>
  </si>
  <si>
    <t>Acuerdo: Eletrical Engineering, Biomedical Engineering, Earth Science</t>
  </si>
  <si>
    <t>[acuerdo fusionado con Universidade de Lisboa-Tecnico de Lisboa]</t>
  </si>
  <si>
    <t>University of Science and Technology - AGH</t>
  </si>
  <si>
    <t>Akademia Górniczo-Hutnicza im. Stanisława Staszica w Krakowie</t>
  </si>
  <si>
    <t>Cracovia</t>
  </si>
  <si>
    <t>PL KRAKOW02</t>
  </si>
  <si>
    <t>PL</t>
  </si>
  <si>
    <t>30 de abril (nomination) 17 de mayo (application)</t>
  </si>
  <si>
    <t>05.17</t>
  </si>
  <si>
    <t>Electrical Engineering (Electronics and Automation) / Biomedical Engineering (Medical Diagnostic and Treatment Technology)</t>
  </si>
  <si>
    <t>exchange@agh.edu.pl</t>
  </si>
  <si>
    <t>Se añade el área 0610 Mayo 2025 para alumnos de GISD</t>
  </si>
  <si>
    <t>Cracow University of Technology- Politechnika Krakowska</t>
  </si>
  <si>
    <t>Politechnika Krakowska</t>
  </si>
  <si>
    <t>PL KRAKOW03</t>
  </si>
  <si>
    <t>29 de septiembre (nomination) - 15 de noviembre (application)</t>
  </si>
  <si>
    <t>erasmus@pk.edu.pl</t>
  </si>
  <si>
    <t xml:space="preserve">INGLÉS B1 </t>
  </si>
  <si>
    <t>(vale el TOEIC con 2 competencias)</t>
  </si>
  <si>
    <t>oferta de asignaturas: https://erasmus.pk.edu.pl/incoming-students/studies-at-cut-faculties-and-subjects/ 
Faculty of Electrical and Computer Engineering: dr inż. Damian Grela (dgrela@pk.edu.pl)</t>
  </si>
  <si>
    <t>no envían ToR en papel y su ToR no es verificable. Aceptamos el ToR si lo envía la Universidad (EWP)</t>
  </si>
  <si>
    <t>Technical University of Lodz</t>
  </si>
  <si>
    <t>Politechnika Lodzka</t>
  </si>
  <si>
    <t>Lodz</t>
  </si>
  <si>
    <t>PL LODZ02</t>
  </si>
  <si>
    <t>30 de junio (nomination) - 31 de julio (application)</t>
  </si>
  <si>
    <t>07.31</t>
  </si>
  <si>
    <t>erasmus@info.p.lodz.pl</t>
  </si>
  <si>
    <t>Para los alumnos que van a realizar una movilidad de 3º de grado: No dejan coger asisnaturas de máster.</t>
  </si>
  <si>
    <t>Poznan University of Technology</t>
  </si>
  <si>
    <t xml:space="preserve">	Politechnika Poznanska</t>
  </si>
  <si>
    <t>Poznan</t>
  </si>
  <si>
    <t>PL POZNAN02</t>
  </si>
  <si>
    <t>erasmus@put.poznan.pl</t>
  </si>
  <si>
    <t xml:space="preserve">INGLÉS B2 </t>
  </si>
  <si>
    <t>2 alumnos en el área de teleco (2*12) y 2 alumnos en el área de bio (2*12) Se puede desdoblar el número de meses (8*5)</t>
  </si>
  <si>
    <t>diciembre 2024: se añade el área GITST grado y se aumenta el nº de estudiantes de 2*10 a 4*10 (2 en cada área) / Grado BIO: en el 2025/26 nos comentó Ana Martínez que la Poznan University of Technology había informado que no iban a impartir el Master de Bio</t>
  </si>
  <si>
    <t>Instituto Politécnico do Porto - Instituto Superior de Engenharia do Porto - ISEP</t>
  </si>
  <si>
    <t>Instituto Politécnico do Porto</t>
  </si>
  <si>
    <t>Porto</t>
  </si>
  <si>
    <t>P  PORTO05</t>
  </si>
  <si>
    <t>gmsa@isep.ipp.pt</t>
  </si>
  <si>
    <t>Goreti Aráujo</t>
  </si>
  <si>
    <t>PORTUGUÉS B1</t>
  </si>
  <si>
    <t>714 Electrical Engineering / 713 Electronics Engineering / 914 Biomedical Engineering</t>
  </si>
  <si>
    <t>ISPE: School of Engineering</t>
  </si>
  <si>
    <t>Instituto Politécnico do Porto: Head of International Relations Office: Carla Carneiro: gcri@sc.ipp.pt/ ISEP School of Engineering: Alexandra Trincao: relacoes.externas@isep.ipp.pt</t>
  </si>
  <si>
    <t>Acuerdo: 0713/0714 Electrical Engineering/ 0914 Bimedical Engineering</t>
  </si>
  <si>
    <t>Rzeszów University of Technology</t>
  </si>
  <si>
    <t xml:space="preserve">	Politechnika Rzeszowska</t>
  </si>
  <si>
    <t>Rzeszów</t>
  </si>
  <si>
    <t>PL RZESZOW01</t>
  </si>
  <si>
    <t>Electrical Engineering (Electronics and Automation) / ICTs / Biomedical Engineering</t>
  </si>
  <si>
    <t>jruszel@prz.edu.pl (outgoing), monikas@prz.edu.pl(incoming)</t>
  </si>
  <si>
    <t xml:space="preserve">Joanna Ruszel </t>
  </si>
  <si>
    <t>West Pomeranian University of Technology</t>
  </si>
  <si>
    <t xml:space="preserve">	Zachodniopomorski Uniwersytet Technologiczny w Szczecinie</t>
  </si>
  <si>
    <t>Szczecin</t>
  </si>
  <si>
    <t>PL SZCZECI02</t>
  </si>
  <si>
    <t>1 de abril (nomination and application) )</t>
  </si>
  <si>
    <t>31 de octubre (nomination and application)</t>
  </si>
  <si>
    <t>Electrical Engineering (Electricity and Energy) / (Electronics and Automation) /  Biomedical Engineering (Medical Diagnostic and Treatment Technology)</t>
  </si>
  <si>
    <t>incoming@zut.edu.pl</t>
  </si>
  <si>
    <t>quitan el áre 914 (sept 2025)</t>
  </si>
  <si>
    <t>Warsaw University of Technology</t>
  </si>
  <si>
    <t>Politechnika Warszawska</t>
  </si>
  <si>
    <t>Varsovia</t>
  </si>
  <si>
    <t>PL WARSZAW02</t>
  </si>
  <si>
    <t>30 de abril (nomination)- 30 de mayo (application)</t>
  </si>
  <si>
    <t>30 de octubre (nomination) - 30 de noviembre (application)</t>
  </si>
  <si>
    <t>ComputerScience (Information and CommunicationTechnologies) / Electrical Engineering (Electronics and Automation)</t>
  </si>
  <si>
    <t>incoming.erasmus@pw.edu.pl, Joanna.golebiowska@pw.edu.pl aleksandra.sulecka@pw.edu.pl</t>
  </si>
  <si>
    <t>(certificado del departamento de lingüística aceptado 2 años de validez)</t>
  </si>
  <si>
    <t>2 alumnos en Information and Communication // 2 alumnos Electronics and automation. Si se incluye el TFT la universidad pide  tener un tutor en destino antes de iniciar la movilidad</t>
  </si>
  <si>
    <t>Politechnika Wroclawska / Wroclaw University of Technology</t>
  </si>
  <si>
    <t>Politechnika Wroclawska</t>
  </si>
  <si>
    <t>Wroclaw</t>
  </si>
  <si>
    <t>PL WROCLAW02</t>
  </si>
  <si>
    <t>anna.wojcik@pwr.edu.pl</t>
  </si>
  <si>
    <t>Anna Wójcik</t>
  </si>
  <si>
    <t xml:space="preserve">Se puede dividir el número de meses </t>
  </si>
  <si>
    <t>Universitatea "Lucian Blaga" Sibiu</t>
  </si>
  <si>
    <t xml:space="preserve">	Universitatea 'Lucian Blaga' din Sibiu</t>
  </si>
  <si>
    <t>Sibiu</t>
  </si>
  <si>
    <t>RO SIBIU01</t>
  </si>
  <si>
    <t>RO</t>
  </si>
  <si>
    <t>dep.externe@ulbsibiu.ro</t>
  </si>
  <si>
    <t>University of Belgrade - School of Electrical Engineering</t>
  </si>
  <si>
    <t>University of Belgrade?? (RSBELGRAD01)</t>
  </si>
  <si>
    <t>Belgrado</t>
  </si>
  <si>
    <t>RS BELGRAD02</t>
  </si>
  <si>
    <t>RS</t>
  </si>
  <si>
    <t>15 de abril (nomination) - 15 de mayo (application)</t>
  </si>
  <si>
    <t>25 de octubre(nomination) - 25 de noviembre (application)</t>
  </si>
  <si>
    <t>10.25</t>
  </si>
  <si>
    <t>11.25</t>
  </si>
  <si>
    <t>Electrical Engineering (Electronics and Automation) / Electrical Engineering:  (Electricity and Energy)</t>
  </si>
  <si>
    <t>radovanovic@etf.bg.ac.rs; jovana.ilic@rect.bg.ac.rs</t>
  </si>
  <si>
    <t>Jelena Radovanovic / Jovana Ilic</t>
  </si>
  <si>
    <t>acuerdo nuevo</t>
  </si>
  <si>
    <t>Jönköping University</t>
  </si>
  <si>
    <t xml:space="preserve">	Jönköping University</t>
  </si>
  <si>
    <t>Jönköping</t>
  </si>
  <si>
    <t>S  JONKOPI01</t>
  </si>
  <si>
    <t>SE</t>
  </si>
  <si>
    <t>20 abril (nomination) 25 abril (application)</t>
  </si>
  <si>
    <t>04.25</t>
  </si>
  <si>
    <t>10 octubre (nomination) - 15 octubre (application)</t>
  </si>
  <si>
    <t>incoming.student@ju.se</t>
  </si>
  <si>
    <t>Engineering, Manufacturing and Construction (5/07)</t>
  </si>
  <si>
    <t>(personas de contacto en otra hoja adjunta)</t>
  </si>
  <si>
    <t>Blekinge Institute of Technology</t>
  </si>
  <si>
    <t xml:space="preserve">	Blekinge tekniska högskola</t>
  </si>
  <si>
    <t>Karlskrona</t>
  </si>
  <si>
    <t>S  KARLSKR01</t>
  </si>
  <si>
    <t>15 de abril (nomination) - 20 de mayo (application)</t>
  </si>
  <si>
    <t>05.20</t>
  </si>
  <si>
    <t>in.exchange@bth.se</t>
  </si>
  <si>
    <t>Read more about cost of living at www.studyinsweden.se / Como cualquier destino en Suecia, es muy importante buscar alojamiento con suficiente antelación. En este destino es especialmente complicado, ya que al ser una ciudad pequeña la universidad no ayuda en la búsqueda de piso, ni tampoco existen residencias de estudiantes al uso.</t>
  </si>
  <si>
    <t>Electrical &amp; Telecommunications Engineering (523)</t>
  </si>
  <si>
    <t>Linköping University - Faculty of Science and Engineering</t>
  </si>
  <si>
    <t>Linköpings universitet</t>
  </si>
  <si>
    <t>Linköping</t>
  </si>
  <si>
    <t>S  LINKOPI01</t>
  </si>
  <si>
    <t xml:space="preserve"> 15 de octubre (nomination - application)</t>
  </si>
  <si>
    <t>Electrical Engineering (Electricity and Energy) / Biomedical Engineering (Medical Diagnosticand Treatment Technology)</t>
  </si>
  <si>
    <t>incoming@lith.liu.se</t>
  </si>
  <si>
    <t xml:space="preserve">Buscar tutor para TFG si no se va a hacer asignaturas. https://liu.se/en/education/exchange-studies https://sway.com/k2fFXu3fSTJw918r?ref=Link Read more about cost of living at www.studyinsweden.se / GIB: https://liu.se/en/education/program/6mbme
</t>
  </si>
  <si>
    <t>Enero 2021: se añade el área de bio y se aumenta el número de alumnos de 2*5 a 2*12(o 4*6)
1 plaza en el área de teleco y 1 plaza en el área de bio (pero son flexibles y se puede nominar 2 alumnos en el mismo área de estudio)</t>
  </si>
  <si>
    <t>Electrical &amp; Telecommunications Engineering (0713(522))</t>
  </si>
  <si>
    <t>Academia Tehnica Militara din Bucaresti - MTA</t>
  </si>
  <si>
    <t xml:space="preserve">	Academia Tehnica Militara din Bucuresti</t>
  </si>
  <si>
    <t>Bucarest</t>
  </si>
  <si>
    <t>RO BUCURES02</t>
  </si>
  <si>
    <t>cerc@mta.ro</t>
  </si>
  <si>
    <t>Luleå University of Technology</t>
  </si>
  <si>
    <t xml:space="preserve">	Luleå tekniska universitet</t>
  </si>
  <si>
    <t>Luleå</t>
  </si>
  <si>
    <t>S  LULEA01</t>
  </si>
  <si>
    <t xml:space="preserve">30 de marzo (nomination) - 15 de abril (application) </t>
  </si>
  <si>
    <t>03.30</t>
  </si>
  <si>
    <t>30 de septiembre(nomination)- 15 de octubre (application)</t>
  </si>
  <si>
    <t>Electrical Engineering (Electronics and Automation) / ICTs</t>
  </si>
  <si>
    <t>annacarin.larsson@ltu.se</t>
  </si>
  <si>
    <t>AnnaCarin Larsson</t>
  </si>
  <si>
    <t>2 alumnos para eñ área electrical engineering + 2 alumnos en el área computer science
Se requiere cursar en destino 30 ECTS / semestre</t>
  </si>
  <si>
    <t>Electronics &amp; Automation (0714) / Computing (061)</t>
  </si>
  <si>
    <t xml:space="preserve">National University of Science and Technology POLITEHNICA Bucharest </t>
  </si>
  <si>
    <t>UNIVERSITATEA NATIONALA DE STIINTA SI TEHNOLOGIE POLITEHNICA BUCURESTI?? (ROBUCURES11)</t>
  </si>
  <si>
    <t>RO BUCURES43</t>
  </si>
  <si>
    <t>student.erasmus@upb.ro</t>
  </si>
  <si>
    <t>Andreea Militaru</t>
  </si>
  <si>
    <t xml:space="preserve">forma parte de EELISA
</t>
  </si>
  <si>
    <t>Acuerdo nuevo desde 2022. Se ha fusionado con otra Uni y ha cambiado nombre y código erasmus.</t>
  </si>
  <si>
    <t>Lund Institute of Technology</t>
  </si>
  <si>
    <t>Lunds universitet</t>
  </si>
  <si>
    <t>Lund</t>
  </si>
  <si>
    <t>S  LUND01</t>
  </si>
  <si>
    <t>31 de marzo (nomination) - 15 de abril (application)</t>
  </si>
  <si>
    <t>30 de septiembre (nomination) - 15 de octubre (application)</t>
  </si>
  <si>
    <t>incoming@lth.lu.se</t>
  </si>
  <si>
    <t xml:space="preserve">list of courses available: https://www.lth.se/english/study-at-lth/exchange-studies/find-exchange-courses/courses-in-engineering/ 
Students are not allowed to change courses unless there are problems in terms of course clashes or any other justifiable reason / El alumno debe matricular 30 créditos por semestre  </t>
  </si>
  <si>
    <t xml:space="preserve"> Se cancela el DT en marzo 2023- se puede desdoblar el nº de meses</t>
  </si>
  <si>
    <t>KTH - School of Electrical Engineering EES</t>
  </si>
  <si>
    <t>Kungliga Tekniska högskolan (KTH)</t>
  </si>
  <si>
    <t>Estocolmo</t>
  </si>
  <si>
    <t>S  STOCKHO04</t>
  </si>
  <si>
    <t xml:space="preserve">15 de abril </t>
  </si>
  <si>
    <t>exchange.in@eecs.kth.se;  exchangestudies@kth.se.</t>
  </si>
  <si>
    <t>El alumno debe matricular un máximo 30 créditos por semestre  / We have created a page focusing on double degrees and describing the studies, requirements and specializations.
Here the link that will be useful to prospective double degree students at our school:
https://www.kth.se/social/group/double-degree-stud-2/page/master-specializations-with-electrical-e/
Para DT 90 ECTS típicamente. Read more about cost of living at www.studyinsweden.se</t>
  </si>
  <si>
    <t>Telecommunication (523)</t>
  </si>
  <si>
    <t>Mälardalen University</t>
  </si>
  <si>
    <t>Mälardalens universitet</t>
  </si>
  <si>
    <t>Västerås</t>
  </si>
  <si>
    <t>S  VASTERA01</t>
  </si>
  <si>
    <t>7 de mayo (nomination) - 15 de mayo (application)</t>
  </si>
  <si>
    <t>05.07</t>
  </si>
  <si>
    <t xml:space="preserve">idt-international@mdh.se </t>
  </si>
  <si>
    <t>Michaela Rohde</t>
  </si>
  <si>
    <t>Read more about cost of living at www.studyinsweden.se</t>
  </si>
  <si>
    <t>Electrical Engineering (523) / Computer Science (481)</t>
  </si>
  <si>
    <t>Aalto University - School of Electrical Engineering</t>
  </si>
  <si>
    <t>Aalto University</t>
  </si>
  <si>
    <t>Helsinki</t>
  </si>
  <si>
    <t>SF ESPOO12</t>
  </si>
  <si>
    <t>FI</t>
  </si>
  <si>
    <t>15 de abril (nomination) -30 de abril (application)</t>
  </si>
  <si>
    <t>incoming-elec@aalto.fi</t>
  </si>
  <si>
    <t>(también válido el certificado en inglés del departamento de lingüística de la ETSIT)</t>
  </si>
  <si>
    <t xml:space="preserve"> 2/3 de las asignatutras deben ser del dpto. Electrical engineering. 1/3 puede ser de otros dpto de Aalto University (Schools of Technology)</t>
  </si>
  <si>
    <t>School of Electrical Engineering</t>
  </si>
  <si>
    <t>Manager of International Relations: Anita Bisi: anita.bisi@aalto.fi/Student Services: incoming-elec@aalto.fi</t>
  </si>
  <si>
    <t>South-Eastern Finland University of Applied Sciences XAMK</t>
  </si>
  <si>
    <t xml:space="preserve">	South-Eastern Finland University of Applied Sciences</t>
  </si>
  <si>
    <t>Mikkeli</t>
  </si>
  <si>
    <t>SF MIKKELI07</t>
  </si>
  <si>
    <t>Eeva.Virtanen@xamk.fi</t>
  </si>
  <si>
    <t xml:space="preserve">Virtanen Eeva </t>
  </si>
  <si>
    <t>https://into.aalto.fi/display/enmasterelec/How+to+apply</t>
  </si>
  <si>
    <t>Ms. Eeva Virtanen. Ersmus Institutional Coordinator: eeva.virtanen@mamk.fi</t>
  </si>
  <si>
    <t>Acuerdo: 523 Electronic Engineering/ ETSIDI 52 Engineering Technology</t>
  </si>
  <si>
    <t xml:space="preserve">University of Oulu </t>
  </si>
  <si>
    <t xml:space="preserve">	Oulun Yliopisto</t>
  </si>
  <si>
    <t>Oulu</t>
  </si>
  <si>
    <t>SF OULU01</t>
  </si>
  <si>
    <t>15 de abril (nomination) - 30 de abril (application)</t>
  </si>
  <si>
    <t>international.office@oulu.fi</t>
  </si>
  <si>
    <t>Enviar tema de TFG con mucha antelación.</t>
  </si>
  <si>
    <t>Tampere University</t>
  </si>
  <si>
    <t>Tampere</t>
  </si>
  <si>
    <t>SF TAMPERE17</t>
  </si>
  <si>
    <t>15 de abril (nomination) 30 de abril (application)</t>
  </si>
  <si>
    <t>Electrical Engineering (Electronics and Automation) / Biomedical Engineering (Medical Diagnosticand Treatment Technology) NOTE: alumnado de bio cogen asignaturas de biotechnology en el departamento de electronics and automation</t>
  </si>
  <si>
    <t xml:space="preserve"> mobility.tau@tuni.fi</t>
  </si>
  <si>
    <t>INGLÉS B2 (certificado de l departamentode lingüística válido) o a score report from one of the following language tests:
TOEFL: Minimum score of 92/iBT (including Home Edition), with no section below 20
IELTS: Minimum score of 6.5, with no individual score below 5.5 (including IELTS Online)
Duolingo: Minimum score of 115
Copies of other test scores may be accepted. We will contact you during the review process if any certificate or test score cannot be considered. Please note that test results are valid for only two years.</t>
  </si>
  <si>
    <t>alumnado de bio cogen asignaturas de biotechnology en el departamento de electronics and automation. Están nominados en ese departamento, no hay IIA con biomedical engineering</t>
  </si>
  <si>
    <t>University of Ljubljana</t>
  </si>
  <si>
    <t xml:space="preserve">	Univerza v Ljubljani</t>
  </si>
  <si>
    <t>Ljubljana</t>
  </si>
  <si>
    <t>SI LJUBLJA01</t>
  </si>
  <si>
    <t>erasmus@fri.uni-lj.si</t>
  </si>
  <si>
    <t>INGLÉS B2 (A Language Certificate that references the CEFR scale.
A TOEFL score of 79 (IBT) or an IELTS score of 6 for English.
Results from the OLS (Online Language Support) platform.
Any other official language certificate</t>
  </si>
  <si>
    <t>OJO: cada año se modifican las asignaturas que pueden cursar los alumnos de prog. de intercambio y no se garantiza el reconocimiento de créditos en la ETSIT con la modificación del PF / Para cursar asignaturas de Máster, el alumno debe haber superado al menos 180ECTS / los alumnos de GIB deben coger asignaturas de la facultad de electrical engineering:
https://fe.uni-lj.si/wp-content/uploads/2024/04/Shema-predmetov-winter-semester.pdf
https://fe.uni-lj.si/wp-content/uploads/2024/04/Shema-predmetov-summer-semester.pdf</t>
  </si>
  <si>
    <t>No envían ToR en papel y su ToR no es verificable. Aceptamos el ToR si lo envía University of Ljubljana</t>
  </si>
  <si>
    <t>ITÜ İstanbul Teknik Üniversitesi</t>
  </si>
  <si>
    <t xml:space="preserve">	Istanbul Teknik Üniversitesi</t>
  </si>
  <si>
    <t>Istambul</t>
  </si>
  <si>
    <t>TR ISTANBU04</t>
  </si>
  <si>
    <t>TR</t>
  </si>
  <si>
    <t>1 de mayo (nomination) 31 de mayo (application)</t>
  </si>
  <si>
    <t>3 de noviembre (nomination) 1 de diciembre (application)</t>
  </si>
  <si>
    <t>11.03</t>
  </si>
  <si>
    <t>Electrical Engineering (Electronics and Automation) / Electrical Engineering (Electricity and Energy)</t>
  </si>
  <si>
    <t>erasmus_incoming@itu.edu.tr</t>
  </si>
  <si>
    <t xml:space="preserve">Volkan Paçal </t>
  </si>
  <si>
    <t>Marmara Üniversitesi</t>
  </si>
  <si>
    <t xml:space="preserve">	Marmara Üniversitesi</t>
  </si>
  <si>
    <t>TR ISTANBU05</t>
  </si>
  <si>
    <t>15 de mayo - 1 de junio</t>
  </si>
  <si>
    <t>15 de noviembre (nomination) - 1 de diciembre (application)</t>
  </si>
  <si>
    <t>erasmus.incoming@marmara.edu.tr</t>
  </si>
  <si>
    <t>Yildiz Technical University</t>
  </si>
  <si>
    <t xml:space="preserve">	Yildiz Teknik Üniversitesi </t>
  </si>
  <si>
    <t>TR ISTANBU07</t>
  </si>
  <si>
    <t>15 de julio</t>
  </si>
  <si>
    <t>07.15</t>
  </si>
  <si>
    <t>Biomedical Engineering (Medical Diagnostic and Treatment Technology)</t>
  </si>
  <si>
    <t>erasmus@yildiz.edu.tr</t>
  </si>
  <si>
    <t>acuerdo firmado con el departamento de biotecnología. Hace falta coger al menos una asignatura de este departamento para luego poder coger asignaturas del departamento de bioingeniería</t>
  </si>
  <si>
    <t>Özyegin Üniversitesi</t>
  </si>
  <si>
    <t xml:space="preserve">	Özyeğin Üniversitesi</t>
  </si>
  <si>
    <t>TR ISTANBU31</t>
  </si>
  <si>
    <t>15 de junio (nomination )- 16 de julio (application)</t>
  </si>
  <si>
    <t>07.16</t>
  </si>
  <si>
    <t>30 de octubre (nomination)- 1 de diciembre (application)</t>
  </si>
  <si>
    <t>Electrical Engineering (Electronics and Automation) /  ICTs</t>
  </si>
  <si>
    <t>zeynep.siper@ozyegin.edu.tr; yasemin.ozbas@ozyegin.edu.tr</t>
  </si>
  <si>
    <t>Ms. Zeynep Siper Özyurt- Ms. Yasemin Özbaş(incoming)</t>
  </si>
  <si>
    <t>However, we expect to receive a formal letter from the institution (language dpt. attesting to the language level if the medium of instruction is not English)</t>
  </si>
  <si>
    <t xml:space="preserve">course list: https://www.ozyegin.edu.tr/en/ects-course-catalog-courses-offered/courses-offered?utm_source=footer </t>
  </si>
  <si>
    <t>nuevo acuerdo firmado en el área 061 en abril 2021</t>
  </si>
  <si>
    <t>Namik Kemal University</t>
  </si>
  <si>
    <t xml:space="preserve">	Namik Kemal Üniversitesi</t>
  </si>
  <si>
    <t>Tekirdag</t>
  </si>
  <si>
    <t>TR TEKIRDAG01</t>
  </si>
  <si>
    <t>infoerasmus@nku.edu.tr</t>
  </si>
  <si>
    <t>Cranfield University</t>
  </si>
  <si>
    <t xml:space="preserve">	Cranfield University</t>
  </si>
  <si>
    <t>Cranfield</t>
  </si>
  <si>
    <t>UK CRANFIE01</t>
  </si>
  <si>
    <t>UK</t>
  </si>
  <si>
    <t>AB/ER</t>
  </si>
  <si>
    <t>Electrical Engineering (Electronics and Automation)
Computer Science (Information and Communication Technologies)</t>
  </si>
  <si>
    <t>No</t>
  </si>
  <si>
    <t>Europe-CentralAsia@cranfield.ac.uk</t>
  </si>
  <si>
    <t>(TOEFL 92 iBT - TOEIC 800 - IELTS 6.5 - CAE) ver presentación en la web</t>
  </si>
  <si>
    <t>Double degree programme: Se paga la matrícula completa que incluye un descuento del 50% (aprox. 14000£) excepto para los MBA. El curso académico dura entre 11 y 13 meses. Tuition fees: https://www.cranfield.ac.uk/study/taught-degrees/fees-and-funding / course list: https://www.cranfield.ac.uk/courses/taught/a-to-z
Posibilidad de realizar un proyecto de investigación  
Para visa: aplicar con la carta de aceptación (aprox. 370£)
Para programa erasmus, se paga el crédito pero posibilidad de tener un descuento de 50€ (overseas fees)</t>
  </si>
  <si>
    <t>DT válido hasta el 2027/28 / /acuerdo erasmus con UK firmado en abril 2023 (para varias Escuelas UPM)</t>
  </si>
  <si>
    <t>[acuerdo DT, no Erasmus]</t>
  </si>
  <si>
    <t>Queen Mary University of London</t>
  </si>
  <si>
    <t xml:space="preserve">	Queen Mary University of London</t>
  </si>
  <si>
    <t>Londres</t>
  </si>
  <si>
    <t>UK LONDON031</t>
  </si>
  <si>
    <t>Computer Science (Information and Communication Technologies)</t>
  </si>
  <si>
    <t>INGLÉS B2-C1</t>
  </si>
  <si>
    <t>La duración mínima del Proyecto son 9 meses / no se puede cursar asignaturas pero sí idiomas</t>
  </si>
  <si>
    <t xml:space="preserve">200 credits for a 2000 hour programme with one credit for 10 hours. The total comprises 40% for the modular programme, 20% for the group project and 40% for the individual project </t>
  </si>
  <si>
    <t>UNIVERSIDADE DE BRASILIA</t>
  </si>
  <si>
    <t>Brasilia</t>
  </si>
  <si>
    <t>BR</t>
  </si>
  <si>
    <t>1 de abril (nomination and application)</t>
  </si>
  <si>
    <t>1 de noviembre (nomination and application)</t>
  </si>
  <si>
    <t>Electrical Engineering; Computer Science</t>
  </si>
  <si>
    <t>intweb@unb.br</t>
  </si>
  <si>
    <t>mobility team</t>
  </si>
  <si>
    <t>PORTUGUES B1 o INGLÉS B2</t>
  </si>
  <si>
    <t>CURSO DE GRADUAÇÃO EM ENGENHARIA DE REDES DE COMUNICAÇÂO FACULDADE DE TECNOLOGIA/UnB (FT/UnB) / primer semestre: febrero a junio; segundo semestre: agosto a diciembre</t>
  </si>
  <si>
    <t>nuevo acuerdo firmado en marzo 2023</t>
  </si>
  <si>
    <t>UNIVERSIDADE DE PASSO FUNDO (UPF)</t>
  </si>
  <si>
    <t>Bairro São José</t>
  </si>
  <si>
    <t>30 de abril (nomination and application)</t>
  </si>
  <si>
    <t>30 de octubre (nomination and application)</t>
  </si>
  <si>
    <t>Electrical Engineering (Electronics and Automation) / Biomedical Engineering</t>
  </si>
  <si>
    <t>aai@upf.br</t>
  </si>
  <si>
    <t>Profa. Dra. Luciane Sturm</t>
  </si>
  <si>
    <t xml:space="preserve">PORTUGUES B1 </t>
  </si>
  <si>
    <t>Puede desdoblarse el número de plazas (2 plazas x 5 meses cada una) / primer semestre: febrero a junio; segundo semestre: agosto a diciembre</t>
  </si>
  <si>
    <t>acuerdo nuevo firmado en noviembre 2023</t>
  </si>
  <si>
    <t>École Polytechnique Montréal</t>
  </si>
  <si>
    <t>Montréal</t>
  </si>
  <si>
    <t>CA</t>
  </si>
  <si>
    <t>FRANCÉS C1</t>
  </si>
  <si>
    <t>La selección se hace desde el Rectorado = todos los alumnos UPM compiten por la plaza</t>
  </si>
  <si>
    <t>08/11/2024: pendientes de saber cuántas plazas tenemos para exchange y para DT. DT en marcha.</t>
  </si>
  <si>
    <t>Universidade de Sao Paulo USP</t>
  </si>
  <si>
    <t>Sao Paulo</t>
  </si>
  <si>
    <t>MS</t>
  </si>
  <si>
    <t>Electrical Engineering (Electronics and Automation) / ICT</t>
  </si>
  <si>
    <t>Puede desdoblarse el número de plazas (4 plazas x 5 meses cada una) / primer semestre: febrero a junio; segundo semestre: agosto a diciembre / Students must have completed a minimum of 180 ECTS or equivalent before mobility</t>
  </si>
  <si>
    <t>se renueva en el curso 21-22</t>
  </si>
  <si>
    <t>Georgia Tech</t>
  </si>
  <si>
    <t>Metz y Atlanta</t>
  </si>
  <si>
    <t>FR y US</t>
  </si>
  <si>
    <t>1 de noviembre (nomination) 1 de febrero (application)</t>
  </si>
  <si>
    <t>02.01</t>
  </si>
  <si>
    <t xml:space="preserve"> Electrical &amp; Computer Engineering (ECE)</t>
  </si>
  <si>
    <t>12 o 18</t>
  </si>
  <si>
    <t>isabel.ortiz@upm.es; 'SCHMITT, Oceane' &lt;oceane.schmitt@georgiatech-europe.eu&gt;; 'Boussert, Bertrand' &lt;bb130@gatech.edu&gt;</t>
  </si>
  <si>
    <t>Isabel Ortiz, Betrand Boussert; Océane Schmidt</t>
  </si>
  <si>
    <t>DEADLINE: 1 de diciembre TOEFL 90 (ECE) (min 19 for each section) or IELTS 7 (min 6.5 for reading and listening and min 5.5 for writing) or TOEIC 850
GRE (only for CS): verbal 150 / quantitative 155 / analytical writing 3</t>
  </si>
  <si>
    <t xml:space="preserve">http://www.gatech.edu / http://www.gt-lorraine.eu Master of Science degree in Electrical &amp; Computer Engineering (30 SCH)
El master consiste en pasar 1 semestre (fall semester) en Metz, Francia y un curso completo en Atlanta, EEUU (spring y siguiente fall semester)
GPA 3.5 / coste: $40K + financial aid </t>
  </si>
  <si>
    <t xml:space="preserve">acuerdo empieza en el curso academico 2022-23 </t>
  </si>
  <si>
    <t>Universidade Estadual de Campinas UNICAMP</t>
  </si>
  <si>
    <t>Campinas</t>
  </si>
  <si>
    <t>Puede desdoblarse el número de plazas (2 plazas x 5 meses cada una) / primer semestre: febrero a junio; segundo semestre: agosto a diciembre / Students must have completed a minimum of 180 ECTS or equivalent before mobility</t>
  </si>
  <si>
    <t xml:space="preserve">se renueva para 2022-2026 / pasa de 2 a 1 alumno </t>
  </si>
  <si>
    <t>Doshisha Universíty - Graduate School of  Science and Engineering</t>
  </si>
  <si>
    <t>Kyoto</t>
  </si>
  <si>
    <t>JP</t>
  </si>
  <si>
    <t>13 de febrero (nomination) 28 de febrero (application)</t>
  </si>
  <si>
    <t>02.13</t>
  </si>
  <si>
    <t>02.28</t>
  </si>
  <si>
    <t>02.17</t>
  </si>
  <si>
    <t>delegacion.asia@upm.es;  jt-istc@mail.doshisha.ac.jp</t>
  </si>
  <si>
    <t xml:space="preserve">Xavier Ferre; ISTC Team </t>
  </si>
  <si>
    <t xml:space="preserve">SI </t>
  </si>
  <si>
    <t>(TOEFL 79; IELTS 6,0)</t>
  </si>
  <si>
    <t>1 plaza para un curso completo / 1 plaza para DT /competitivo con otras Escuelas UPM. Nota mínima expediente: 7.0 
Se oferta la posibilidad de realizar un proyecto de investigación como parte del TFM (el TFM se evaluará y defenderá en la ETSIT) Para DT: Course catalogue: http://istc.doshisha.ac.jp/en/course/course.html http://istc.doshisha.ac.jp/en/faq/faq.html / Para alumnos interesados en realizar una DT, ponerse en contacto con la oficina internacional (2 años) / Se puede solicitar la beca de Asia modalidad B 3000€</t>
  </si>
  <si>
    <t>acuerdos DT y exchange programmes renovados en septiembre 2022 con ETSII y ETSIINF</t>
  </si>
  <si>
    <t>Technology Keio University</t>
  </si>
  <si>
    <t>Tokyo</t>
  </si>
  <si>
    <t>1 de noviembre (period I) 31 de marzo (period II)</t>
  </si>
  <si>
    <t>ic-yagami@adst.keio.ac.jp; misato.nozawa@adst.keio.ac.jp</t>
  </si>
  <si>
    <t>Ms. Misato Nozawa</t>
  </si>
  <si>
    <t>Para doble título: 2 plazas competitivo con otras escuelas UPM / Para alumnos interesados en realizar una DT, ponerse en contacto con la oficina internacional (2 years) / Se requiere una nota media de 7/10 / Se puede solicitar la beca de Asia modalidad B 3000€</t>
  </si>
  <si>
    <t>Acuerdo pendiente de renovación con ETSII y ETSIINF (2 plazas DT en TOTAL)</t>
  </si>
  <si>
    <t>Instituto Tecnológico de Buenos Aires - ITBA</t>
  </si>
  <si>
    <t>Buenos Aires</t>
  </si>
  <si>
    <t>AR</t>
  </si>
  <si>
    <t>Electrical Engineering (Electronics and Automation) / ICT / Biomedical Engineering</t>
  </si>
  <si>
    <t>incoming@itba.edu.ar   global@itba.edu.ar</t>
  </si>
  <si>
    <t>-</t>
  </si>
  <si>
    <t>Pueden juntarse las plazas (1 alumno x 10 meses + 1 semestre) / Students must have completed a minimum of 180 ECTS or equivalent before mobility</t>
  </si>
  <si>
    <t>se renueva en el curso 21/2022</t>
  </si>
  <si>
    <t>University of California - Berkeley</t>
  </si>
  <si>
    <t>Berkeley</t>
  </si>
  <si>
    <t>US</t>
  </si>
  <si>
    <t>12 Meses</t>
  </si>
  <si>
    <t>6 de enero (nomination and application)</t>
  </si>
  <si>
    <t>01.06</t>
  </si>
  <si>
    <t>isabel.ortiz@upm.es</t>
  </si>
  <si>
    <t>Isabel Ortiz</t>
  </si>
  <si>
    <t>TOEFL 106</t>
  </si>
  <si>
    <t>no pedir EECS sino IEOR - ME- NE / no es para research / GPA: min 3.5 / coste $62K + financial aid</t>
  </si>
  <si>
    <t>No existe un acuerdo de DT oficial (solo existe un MOU). Existe un acuerdo donde están las condiciones pero no está firmado por Berkeley</t>
  </si>
  <si>
    <t>CERTIFICADO VERIFICABLE  "El cetificado se puede certificar online. Eso si, el PDF. Se sube el documento, se pregunta si ha sido modificado y listo</t>
  </si>
  <si>
    <t>George Mason University</t>
  </si>
  <si>
    <t>State of Virginia</t>
  </si>
  <si>
    <t>1 de marzo (nomination) 15 de marzo (application)</t>
  </si>
  <si>
    <t>03.01</t>
  </si>
  <si>
    <t xml:space="preserve"> inbound@gmu.edu (exchange programs); iep@gmu.edu (1+1 program)</t>
  </si>
  <si>
    <t>Krista Uhrig</t>
  </si>
  <si>
    <t>(TOEFL Undergraduate 80 (minimum required in each seccion: 18) / Graduate 80 (minimum required in each seccion: 20) or IELTS 6.5 (minimum required in each seccion: 6.0) or Duolinguo Undergraduate 110 / Graduate (DD program) 120. GRE is a requirement for the MS in Electrical Engineering program https://www.gmu.edu/admissions-aid/apply-now/how-apply/international/english-proficiency-requirements</t>
  </si>
  <si>
    <t>Existen 2 acuerdos: 
- Exchange program para alumnos de grado y máster (en conjunto con la UPM) : 1 plaza de 1 curso académico o 2 plazas de un semestre. GPA: 2.5 
- Doble titulación (1+1 program): 5 plazas para alumnos del MUIT. GPA: 3.0 El alumno deberá pagar un seguro (aprox para curso completo 3000$). Se requiere el GRE para subir a la aplicación de GMU (ver application deadline). NO SE RECOMIENDA APLICAR PARA COMPUTER SCIENCE. 
OJO, para la agencia de evaluación externa Spantran the Evaluation Company, no hay que enviar el ToR en percentiles sino el ToR en inglés con ultima situación. Se puede pedir evaluation interna para el GPA
requisitos para alumnos de DT: https://admissions.gmu.edu/grad/application-deadlines-and-requirements/?academicUnit=VS. 
Se puede reconocer de 6 a 12 credit hours (de 12 a 24 ECTS)=transfer credits: course by course evaluation (externa). 
Los alumnos (menos de 10) pueden recibir un descuento del 35% (on out of state tuition fees).
Para los dos acuerdos, se puede pedir la beca USA/CANADÁ.</t>
  </si>
  <si>
    <t>DT válido hasta 23/24. Minimum GPA for review of graduate applications is 2.5/4.0 for undergraduate students and 3/4 for graduate students. Recomendado usar una evaluación externa (SpanTrans Evaluation company) para course bycourse evaluation y evaluación interna para GPA (Students may request an internal evaluation of official transcripts to establish GPA, credit hours, and degree conversion)</t>
  </si>
  <si>
    <r>
      <t xml:space="preserve">Universidad Popular Autónoma del Estado de Puebla </t>
    </r>
    <r>
      <rPr>
        <b/>
        <sz val="8"/>
        <color indexed="8"/>
        <rFont val="Arial"/>
        <family val="2"/>
      </rPr>
      <t>UPAEP</t>
    </r>
  </si>
  <si>
    <t>Puebla</t>
  </si>
  <si>
    <t>MX</t>
  </si>
  <si>
    <t>15 de junio (nomination) - 22 de junio (application)</t>
  </si>
  <si>
    <t>06.22</t>
  </si>
  <si>
    <t>15 noviembre(nominacion)-22 de noviembre (applicación)</t>
  </si>
  <si>
    <t>11.22</t>
  </si>
  <si>
    <t>intercam@upaep.mx; pablo.nuno@upaep.mx</t>
  </si>
  <si>
    <t>B2 ESPAÑOL o INGLÉS B2</t>
  </si>
  <si>
    <t>TOEFL ITP 500, TOEFL IBT 61 or IELTS band 6. Una certificación de inglés anterior o carta del departamento de idiomas es aceptada para comprobar habilidades en el idioma.</t>
  </si>
  <si>
    <t>renovado 2023/2027</t>
  </si>
  <si>
    <t>JEANINE LOPEZ SANDOVAL &lt;jeanine.lopez@upaep.mx&gt;</t>
  </si>
  <si>
    <t>Universidad Anáhuac - Mayab</t>
  </si>
  <si>
    <t>México</t>
  </si>
  <si>
    <t>30 mayo (nomination) - 30 junio (application)</t>
  </si>
  <si>
    <t>30 de octubre (nomination) -30 de noviembre (application)</t>
  </si>
  <si>
    <t>exchange@anahuac.mx; incoming.mexico@anahuac.mx</t>
  </si>
  <si>
    <t>Mayerline Verduzco</t>
  </si>
  <si>
    <t>ESPAÑOL B2 O INGLÉS B2</t>
  </si>
  <si>
    <t>renovado 2021/2025 La U. Anáhuac tiene varios Centros (campus), tenemos acuerdo con Mayab pero para Anáhuac México, hace falta pedir cesión de plazas a Diseño y Moda</t>
  </si>
  <si>
    <t>Illinois Tech</t>
  </si>
  <si>
    <t>Chicago</t>
  </si>
  <si>
    <t>15 de abril (Master Thesis 15 de marzo) (application)</t>
  </si>
  <si>
    <t>15 de octubre (application)</t>
  </si>
  <si>
    <t>Misquita@illinoistech.edu</t>
  </si>
  <si>
    <t>Vanita Misquita</t>
  </si>
  <si>
    <t xml:space="preserve">2 AÑOS DE VALIDEZ
- TOEFL IBT 80 (20 en cada sección) - No se acepta TOEFL MyBest Scores - Score tests must be sent to IIT  Institution code 1318 - Choose Department not listed when completing the TOEFL official score request form :  Level - Graduate:  Campus - leave blank  
- IELTS 6.5 (6.0 en cada sección) - No se acepta online IELTS - choose the electronic upload delivery system 
- Duolinguo English Test 115 (115 en cada sección)
- GRE; A: entre 2.5 - 3.5 NEW: if you choose any 1-year Master's offered by the departments under the Armour College of Engineering and the School of Applied Technology, you will NOT be required to submit a GRE general score. If choosing College of Science, then you will be required to pass the GRE general exam. Institution code is 1318 </t>
  </si>
  <si>
    <t>Minimum overall mark required to apply  is 6.5 out of 10 and 7+ marks in math, science and major-related subjects at the Bachelor’s and Master’s level / la movilidad en grado es en el marco del programa GE3 (sin coste de matrícula). Solo 1 alumno/a, la selección se hace a nivel UPM. Se requiere nota media de mínimo 6/10.</t>
  </si>
  <si>
    <t xml:space="preserve">DT válido hasta </t>
  </si>
  <si>
    <t>Universidad de Mendoza</t>
  </si>
  <si>
    <t>Mendoza</t>
  </si>
  <si>
    <t>English language B2 certificate:</t>
  </si>
  <si>
    <t>se renueva para 2025/2029</t>
  </si>
  <si>
    <t>Universidad Favaloro</t>
  </si>
  <si>
    <t>vstipechi@favaloro.edu.ar</t>
  </si>
  <si>
    <t>Ing. Valentina Stipechi</t>
  </si>
  <si>
    <t>acuerdo renovado hasta el 2028</t>
  </si>
  <si>
    <t>Universidad Nacional de Tucumán</t>
  </si>
  <si>
    <t>Tucumán</t>
  </si>
  <si>
    <t xml:space="preserve">se ha renovado Acuerdo Marco pero no el Bilateral   </t>
  </si>
  <si>
    <t>National Taiwan University - NTU</t>
  </si>
  <si>
    <t>Taipei</t>
  </si>
  <si>
    <t>TW</t>
  </si>
  <si>
    <t>16 de marzo (nomination for double degree student) / 25 de marzo (nomination for exchange student) - 1 de abril (application for double degree student) / 25 de abril (application for exchange student)</t>
  </si>
  <si>
    <t>03.16 / 03.25</t>
  </si>
  <si>
    <t>04.01 / 04.25</t>
  </si>
  <si>
    <t>13 de octubre (nomination) - 27 de octubre  (application)</t>
  </si>
  <si>
    <t>10.13</t>
  </si>
  <si>
    <t>cfchiu@ntu.edu.tw; cathychen@ntu.edu.tw</t>
  </si>
  <si>
    <t>Serena Chiu (exchange students) / Cathy Chen (DD students)</t>
  </si>
  <si>
    <t>INGLÉS B2 o CHINO B1</t>
  </si>
  <si>
    <t>Las solicitudes para DT son prioritarias. Los alumnos deben cursar 18 créditos NTU (equivalente a 60ECTS) durante el primer año y realizar una master thesis de 6 meses de duración durante el segundo curso de la DT. Se requiere un GPA de 3.2/ Se puede solicitar la beca de Asia modalidad B 3000€</t>
  </si>
  <si>
    <t>DT válido hasta 23/24</t>
  </si>
  <si>
    <t>Universidade Estadual Paulista 'Júlio de Mesquita Filho' UNESP</t>
  </si>
  <si>
    <t>Se renueva el acuerdo en julio 2023 hasta el 2028</t>
  </si>
  <si>
    <t>The University of New South Wales - UNSW</t>
  </si>
  <si>
    <t>Sydney</t>
  </si>
  <si>
    <t>AU</t>
  </si>
  <si>
    <t>internationalmous@unsw.edu.au</t>
  </si>
  <si>
    <t>Jack Pash</t>
  </si>
  <si>
    <t>IELTS 6.5 o TOEFL 90 (iBT) o TOEFL 577 (PBT) o CPE (B grade) o CAE (A grade)</t>
  </si>
  <si>
    <t xml:space="preserve">acuerdo bilateral no renovado. No conseguimos contatar con ellos. </t>
  </si>
  <si>
    <t>acuerdo caducado: se deja en la oferta de plazas</t>
  </si>
  <si>
    <t>Instituto Nacional de Telecomunicações INATEL</t>
  </si>
  <si>
    <t>Santa Rita do Sapucaí</t>
  </si>
  <si>
    <t>polyana.santos@inatel.br</t>
  </si>
  <si>
    <t>Polyana Carolyn Teixeira Santos</t>
  </si>
  <si>
    <t>Se pueden unir semestres y solicitar movilidad de un curso completo</t>
  </si>
  <si>
    <t>acuerdo vigente hasta 2029</t>
  </si>
  <si>
    <t>Universidade Federal do Rio de Janeiro UFRJ</t>
  </si>
  <si>
    <t>Rio de Janeiro</t>
  </si>
  <si>
    <t>Puede desdoblarse el número de plazas (4 plazas x 5 meses cada una) /Students must have completed a minimum of 180 ECTS or equivalent before mobility</t>
  </si>
  <si>
    <t>se renueva para 2026-2030</t>
  </si>
  <si>
    <t>Pontificia Universidad Católica de Chile PUCC</t>
  </si>
  <si>
    <t>Santiago de Chile</t>
  </si>
  <si>
    <t>CL</t>
  </si>
  <si>
    <t>Puede desdoblarse el número de plazas (4 plazas x 5 meses cada una) / Students must have completed a minimum of 180 ECTS or equivalent before mobility</t>
  </si>
  <si>
    <t>renovado hasta 2030</t>
  </si>
  <si>
    <t>Pontifica Universidad Javeriana PUJ</t>
  </si>
  <si>
    <t>Bogotá</t>
  </si>
  <si>
    <t>CO</t>
  </si>
  <si>
    <t>Puede desdoblarse el número de plazas (2 plazas x 5 meses cada una) / Students must have completed a minimum of 180 ECTS or equivalent before mobility</t>
  </si>
  <si>
    <t>Universidad de los Andes UNIAND</t>
  </si>
  <si>
    <t>27 de febrero(nomination)-27 de marzo (application)</t>
  </si>
  <si>
    <t>oiarelations@uniandes.edu.co.</t>
  </si>
  <si>
    <t>Instituto Politécnico Nacional IPN</t>
  </si>
  <si>
    <t>15 de mayo (cierre convocatoria)</t>
  </si>
  <si>
    <t>Puede desdoblarse el número de plazas (6 plazas x 5 meses cada una) / Students must have completed a minimum of 180 ECTS or equivalent before mobility</t>
  </si>
  <si>
    <t xml:space="preserve">Beijing Institute of Technology </t>
  </si>
  <si>
    <t>Beijing</t>
  </si>
  <si>
    <t>CN</t>
  </si>
  <si>
    <t xml:space="preserve">delegacion.asia@upm.es </t>
  </si>
  <si>
    <t>Xavier Ferre</t>
  </si>
  <si>
    <t>área de estudios: Telecom and Electronics /  La asignación se hace por parte del Rectorado / Se puede solicitar la beca de Asia modalidad B 3000€</t>
  </si>
  <si>
    <t>Tongji University</t>
  </si>
  <si>
    <t>Shanghai</t>
  </si>
  <si>
    <t>áreas de estudios: Software y Telecom and Electronics (1 plaza por área) / La asignación se hace por parte del Rectorado / beca 1.200€ (hay 10 becas para el primer semestre y 10 becas para el segundo semestre) / los alumnos chinos deberán tener un permiso de  residencia de mínimo 5 años en España</t>
  </si>
  <si>
    <t>Tsinghua University</t>
  </si>
  <si>
    <t>área de studios: biomedical engineering y Telecom /  La asignación se hace por parte del Rectorado / Se puede solicitar la beca de Asia modalidad B 3000€</t>
  </si>
  <si>
    <t>Zhejiang University</t>
  </si>
  <si>
    <t>Hangzhou</t>
  </si>
  <si>
    <t>área de estudios: Software / biomedical engineering / La asignación se hace por parte del Rectorado / Se puede solicitar la beca de Asia modalidad B 3000€ / Posibilidad de solicitar una beca del Gobierno Chino (CSC - China Scholarship Council )</t>
  </si>
  <si>
    <t>Nanjing University of Posts and Telecommunications</t>
  </si>
  <si>
    <t>Jiangsu</t>
  </si>
  <si>
    <t>áreas de estudios: Telecom / Se puede solicitar la beca de Asia modalidad B 3000€</t>
  </si>
  <si>
    <t>Beijing Jiatong University</t>
  </si>
  <si>
    <t>National Tsing Hua University</t>
  </si>
  <si>
    <t>Hsinchu</t>
  </si>
  <si>
    <t>Instituto Tecnológico y de Estudios Superiores de Monterrey ITESM</t>
  </si>
  <si>
    <t>Monterrey</t>
  </si>
  <si>
    <t>23 de mayo (nomination) -30 de mayo (application)</t>
  </si>
  <si>
    <t>05.23</t>
  </si>
  <si>
    <t>14 de noviembre (nomination) - 21 de noviembre (application)</t>
  </si>
  <si>
    <t>11.14</t>
  </si>
  <si>
    <t>11.21</t>
  </si>
  <si>
    <t>MS/AB</t>
  </si>
  <si>
    <t>studyinmexico@itesm.mx</t>
  </si>
  <si>
    <t>Claudia Lizette Garay</t>
  </si>
  <si>
    <t>1 plaza para AB (MUIT) y 3 plazas para MS (grados). Tanto para AB como para MS, se puede desdoblarse el número de plazas (8 plazas x 5 meses cada una). 
GRADOS: Los alumnos deben tener 180ECTS superados antes de la movilidad. 1 plaza para teleco, 1 plaza para datos 1 plaza para bio. Se puede solicitar la beca Magalhaes (MS)
MUIT: los alumnos de máster se nominan bajo un acuerdo bilateral (AB)</t>
  </si>
  <si>
    <t>renovado hasta el 2026 para Magalhaes (grado). En julio 2023 se firma un Acuerdo Bilateral para máster (hasta 2027)</t>
  </si>
  <si>
    <t>Universidad EIA (Escuela de Ingenieria de Antioquia)</t>
  </si>
  <si>
    <t>Medellín</t>
  </si>
  <si>
    <t>15 octubre (nomination)- 30 octubre (application)</t>
  </si>
  <si>
    <t>si</t>
  </si>
  <si>
    <t xml:space="preserve"> natalia.valderrama69@eia.edu.co </t>
  </si>
  <si>
    <t>Natalia Valderrama Giraldo</t>
  </si>
  <si>
    <t>Puede desdoblarse el número de plazas (4 plazas x 5 meses cada una)</t>
  </si>
  <si>
    <t xml:space="preserve"> renovado 2024/2027</t>
  </si>
  <si>
    <t>Universidad del Norte (UNINORTE)</t>
  </si>
  <si>
    <t>Barranquilla</t>
  </si>
  <si>
    <t>unoutgoing@uninorte.edu.co; unincoming@uninorte.edu.co</t>
  </si>
  <si>
    <t>Fiorella Rivera Martinez</t>
  </si>
  <si>
    <t>se pueden juntar semestres e ir un curso completo / Students must have completed a minimum of 180 ECTS or equivalent before mobility</t>
  </si>
  <si>
    <t>acuerdo renovado  2024-2028</t>
  </si>
  <si>
    <t>Universidad Nacional Autónoma de México UNAM</t>
  </si>
  <si>
    <t>Universidad de Alicante</t>
  </si>
  <si>
    <t>Alicante</t>
  </si>
  <si>
    <t>ES</t>
  </si>
  <si>
    <t>SICUE</t>
  </si>
  <si>
    <t>Universidad de Extremadura (Campus de Cáceres)</t>
  </si>
  <si>
    <t>Cáceres</t>
  </si>
  <si>
    <t>Universidad de Málaga</t>
  </si>
  <si>
    <t>Málaga</t>
  </si>
  <si>
    <t>Universidad de Oviedo (EPI de Gijón)</t>
  </si>
  <si>
    <t>Gijón</t>
  </si>
  <si>
    <t>2 alumnos de 9 meses para GITST y 2 alumnos de 9 meses para GISD</t>
  </si>
  <si>
    <t>Universidad de Sevilla</t>
  </si>
  <si>
    <t>Sevilla</t>
  </si>
  <si>
    <t>Universidad de Valladolid</t>
  </si>
  <si>
    <t>Valladolid</t>
  </si>
  <si>
    <t>2 alumnos de 9 meses para GITST y 2 alumnos de 9 meses para GIB (acuerdo firmado con la Facultad de Medicina)</t>
  </si>
  <si>
    <t>acuerdo firmado en diciembre 2020 en el área de ingeniería biomédica</t>
  </si>
  <si>
    <t>Universidad de Vigo</t>
  </si>
  <si>
    <t>Vigo</t>
  </si>
  <si>
    <t>Universidad del Pais Vasco</t>
  </si>
  <si>
    <t>Bilbao</t>
  </si>
  <si>
    <t>se cancela el acuerdo para movilidad máster (no autorizado por la CRUE)</t>
  </si>
  <si>
    <t>Universidad de Gerona</t>
  </si>
  <si>
    <t>Gerona</t>
  </si>
  <si>
    <t>Campus de Montilivi</t>
  </si>
  <si>
    <t>Toyohashi University of Technology</t>
  </si>
  <si>
    <t>Toyohashi</t>
  </si>
  <si>
    <t>28 de febrero (nomination) - 27 de marzo (application)</t>
  </si>
  <si>
    <t>jt-istc@mail.doshisha.ac.jp; tut-iuep@office.tut.ac.jp; exchange@office.tut.ac.jp</t>
  </si>
  <si>
    <t>Nayo KAJIMURA (GIS program office); IKEDA Chihiro</t>
  </si>
  <si>
    <t>INGLÉS B2 (TOEIC, TOEFL, IELTS) / N1 level of Japanese Language Proficiency Test</t>
  </si>
  <si>
    <t xml:space="preserve">Fuerte relación con ISOM - GIS program (Global Green Innovators Department Program) hasta marzo 2029 beca para estudiantes de Europa: 80000yen/month = 482€/mes
https://drive.google.com/drive/folders/1ZbM2o8Lp1VvXx20ReUESaCFDG7NRQY7k  
</t>
  </si>
  <si>
    <t>acuerdo válido hasta 2026/27</t>
  </si>
  <si>
    <t>Universidad de Colima</t>
  </si>
  <si>
    <t>Colima</t>
  </si>
  <si>
    <t>Universidad Tecnológica de Panamá UTP</t>
  </si>
  <si>
    <t>El Dorado</t>
  </si>
  <si>
    <t>PA</t>
  </si>
  <si>
    <t>27 de abril</t>
  </si>
  <si>
    <t>04.27</t>
  </si>
  <si>
    <t>2 de febrero</t>
  </si>
  <si>
    <t>02.02</t>
  </si>
  <si>
    <t>axel.chang@utp.ac.pa</t>
  </si>
  <si>
    <t>Axel Chang</t>
  </si>
  <si>
    <t>Universiti Sains Malaysia</t>
  </si>
  <si>
    <t>Penang</t>
  </si>
  <si>
    <t>MY</t>
  </si>
  <si>
    <t>área de studios: Software. La asignación se hace por parte del Rectorado / Se puede solicitar la beca de Asia modalidad B 3000€</t>
  </si>
  <si>
    <t>se añade en la oferta de plaza en noviembre 2019</t>
  </si>
  <si>
    <t>Pontificia Universidad Católica del Perú PUCP</t>
  </si>
  <si>
    <t>Lima</t>
  </si>
  <si>
    <t>PE</t>
  </si>
  <si>
    <t>Universidad Nacional de Ingeniería</t>
  </si>
  <si>
    <t>Rímac (Callao)</t>
  </si>
  <si>
    <t xml:space="preserve">19 diciembre (nominación) </t>
  </si>
  <si>
    <t>12.19</t>
  </si>
  <si>
    <t>31 de mayo (nominación)</t>
  </si>
  <si>
    <t>movilidadestudiantil@uni.edu.pe</t>
  </si>
  <si>
    <t>Pontificia Universidad Católica Madre y Maestra PUCMM</t>
  </si>
  <si>
    <t>Santiago</t>
  </si>
  <si>
    <t>Rep Dom</t>
  </si>
  <si>
    <t>aestevez@pucmm.edu.do</t>
  </si>
  <si>
    <t>Arlene Estévez</t>
  </si>
  <si>
    <t>Pueden juntarse las plazas (1 alumno x 10 meses) / Students must have completed a minimum of 180 ECTS or equivalent before mobility</t>
  </si>
  <si>
    <t>nuevo acuerdo firmado en enero 2024 hasta 2028</t>
  </si>
  <si>
    <t>Universidad Católica de Salta - UCASAL</t>
  </si>
  <si>
    <t>Salta</t>
  </si>
  <si>
    <t>Pte de confirmar</t>
  </si>
  <si>
    <t>gnievas@ucasal.edu.ar</t>
  </si>
  <si>
    <t>Guillermina Nievas</t>
  </si>
  <si>
    <t>el estudiante podrá participar en el programa tras haber cursado al menos tres (3) años completos o 180 ECTS de estudios universitarios</t>
  </si>
  <si>
    <t>acuerdo válido hasta 27/2028</t>
  </si>
  <si>
    <t>Instituto Mauá de Tecnologia</t>
  </si>
  <si>
    <r>
      <t>S</t>
    </r>
    <r>
      <rPr>
        <b/>
        <sz val="8"/>
        <rFont val="Aptos Narrow"/>
        <family val="2"/>
      </rPr>
      <t>ã</t>
    </r>
    <r>
      <rPr>
        <b/>
        <sz val="8"/>
        <rFont val="Arial"/>
        <family val="2"/>
      </rPr>
      <t>o Caetano do Sul/São Paulo</t>
    </r>
  </si>
  <si>
    <t>Guilherme.injo@maua.br; relacoes-internacionais@maua.br</t>
  </si>
  <si>
    <t>Guillherme Ginjo</t>
  </si>
  <si>
    <t>Puede desdoblarse el número de plazas (4 plazas x 5 meses cada una) / https://www.maua.br/en / primer semestre: febrero a junio; segundo semestre: agosto a diciembre</t>
  </si>
  <si>
    <t>Se renueva el acuerdo en noviembre 2024</t>
  </si>
  <si>
    <t>Universidad Tecnológica de Pereira UTP</t>
  </si>
  <si>
    <t>Pereira</t>
  </si>
  <si>
    <t>relint@utp.edu.co</t>
  </si>
  <si>
    <t>oficina internacional</t>
  </si>
  <si>
    <t>renovados Acuerdo Marco y Específico, pero no parecen tener interés en el Bilateral.</t>
  </si>
  <si>
    <t>Universidad Politécnica de Cataluña UPC</t>
  </si>
  <si>
    <t>Barcelona</t>
  </si>
  <si>
    <t>2 plazas para GIB - 1 plaza por para GISD (facultad de informática - Grado en Ciencia e Ingeniería de Datos)</t>
  </si>
  <si>
    <t xml:space="preserve">Universidad Pomeu Fabra </t>
  </si>
  <si>
    <t>Universidad Católica San Antonio de
Murcia</t>
  </si>
  <si>
    <t>Murcia</t>
  </si>
  <si>
    <t>Universidad Politécnica de Valencia UPV</t>
  </si>
  <si>
    <t>Valencia</t>
  </si>
  <si>
    <t>enero 2024: no han querido firmar preacuerdo para GISD</t>
  </si>
  <si>
    <t>INSA Centre Val de Loire</t>
  </si>
  <si>
    <t>Institut National des Sciences Appliquées Centre Val de Loire - INSA Centre Val de Loire</t>
  </si>
  <si>
    <t>Blois</t>
  </si>
  <si>
    <t>F  BLOIS13</t>
  </si>
  <si>
    <t>25 de marzo (nomination) - 8 de abril (application)</t>
  </si>
  <si>
    <t>03.25</t>
  </si>
  <si>
    <t>04.08</t>
  </si>
  <si>
    <t>25 de octubre (nomination) - 8 de noviembre (application)</t>
  </si>
  <si>
    <t>11.08</t>
  </si>
  <si>
    <t xml:space="preserve"> marie.choblet@insa-cvl.fr; alina.gruner@insa-cvl.fr; relationsinternationales@insa-cvl.fr</t>
  </si>
  <si>
    <t>Marie Choblet, Alina Gruner</t>
  </si>
  <si>
    <t>Se puede desdoblar el número de plazas (4 estudiantes por 1 semestre)</t>
  </si>
  <si>
    <t>nuevo acuerdo firmado en octubre 2024</t>
  </si>
  <si>
    <t>University of Zagreb - Faculty of Electrical Engineering and Computing</t>
  </si>
  <si>
    <t>University of Zagreb</t>
  </si>
  <si>
    <t>Zagreb</t>
  </si>
  <si>
    <t>HR ZAGREB 01</t>
  </si>
  <si>
    <t>HR</t>
  </si>
  <si>
    <t>Budapest University of Technology and Economics</t>
  </si>
  <si>
    <t>Budapesti Műszaki és Gazdaságtudományi Egyetem</t>
  </si>
  <si>
    <t>Budapest</t>
  </si>
  <si>
    <t>HU BUDAPES02</t>
  </si>
  <si>
    <t>HU</t>
  </si>
  <si>
    <t>1 de mayo (nomination ) - 15 de mayo (application)</t>
  </si>
  <si>
    <t>15 de noviembre(nomination) - 30 noviembre (application)</t>
  </si>
  <si>
    <t>erasmus@bme.hu</t>
  </si>
  <si>
    <t>Ádám Bajusz</t>
  </si>
  <si>
    <t>forma parte de EELISA</t>
  </si>
  <si>
    <t>Universidad Autónoma de Nuevo León - UANL</t>
  </si>
  <si>
    <t>Nuevo León</t>
  </si>
  <si>
    <t>acuerdo bilateral renovado en 2025 hasta 2029</t>
  </si>
  <si>
    <t>Universidad Politécnica de Puerto Rico PUPR</t>
  </si>
  <si>
    <t>San Juan</t>
  </si>
  <si>
    <t>PR</t>
  </si>
  <si>
    <t xml:space="preserve">ytorres@pupr.edu; internationalmobility@pupr.edu; </t>
  </si>
  <si>
    <t>Yolanda Torres Delgado</t>
  </si>
  <si>
    <t>acuerdo nuevo vigente hasta el curso 2025-26</t>
  </si>
  <si>
    <t>Universidade de Coimbra - Faculty of Science and Technology</t>
  </si>
  <si>
    <t>Coimbra</t>
  </si>
  <si>
    <t>P  COIMBRA01</t>
  </si>
  <si>
    <t>15 de julio (application)</t>
  </si>
  <si>
    <t>15 de diciembre (application)</t>
  </si>
  <si>
    <t>dri.intinfo@uc.pt</t>
  </si>
  <si>
    <t>Juliana Lucas</t>
  </si>
  <si>
    <t xml:space="preserve">PORTUGUÉS B1 o INGLÉS B2 </t>
  </si>
  <si>
    <t>bachelor’s classes are taught in Portuguese and master’s in English</t>
  </si>
  <si>
    <t>acuerdo nuevo abril 2025 Departmental Coordinator, Professor Rui Travasso at ruit@uc.pt</t>
  </si>
  <si>
    <t>Universidad de Montevideo</t>
  </si>
  <si>
    <t>Montevideo</t>
  </si>
  <si>
    <t>UY</t>
  </si>
  <si>
    <t>asantilli@um.edu.uy</t>
  </si>
  <si>
    <t>Adrián Santilli</t>
  </si>
  <si>
    <t>Para alumnado del GITST, solo itinerario de telemática</t>
  </si>
  <si>
    <t>acuerdo nuevo firmado en marzo 2025</t>
  </si>
  <si>
    <t>Universidad Privada Boliviana</t>
  </si>
  <si>
    <t>Cochabamba</t>
  </si>
  <si>
    <t>BO</t>
  </si>
  <si>
    <t>Electrical Engineering (Electronics and Automation)  / Biomedical Engineering</t>
  </si>
  <si>
    <t>internacionalizacion@upb.edu</t>
  </si>
  <si>
    <t>acuerdo renovado septiembre 2026</t>
  </si>
  <si>
    <t>N/A</t>
  </si>
  <si>
    <t xml:space="preserve">* Con Universidade de Lisboa, tenemos dos acuerdos firmados </t>
  </si>
  <si>
    <t>* Cod. SECD: Area de Estudios (Sólo Erasmus+)</t>
  </si>
  <si>
    <t>Programa ER: Erasmus+</t>
  </si>
  <si>
    <t xml:space="preserve">        "        AB: Bilateral</t>
  </si>
  <si>
    <t>Estas Universidades se quitan porque el acuerdo ya no es válido</t>
  </si>
  <si>
    <t>North Carolina Agricultural and Technical State University</t>
  </si>
  <si>
    <t>North Carolina</t>
  </si>
  <si>
    <t>Universidad Técnica Particular de Loja</t>
  </si>
  <si>
    <t>Loja</t>
  </si>
  <si>
    <t>EC</t>
  </si>
  <si>
    <t>Universidad Tecnológica de Tehuacán</t>
  </si>
  <si>
    <t>Tehuacán</t>
  </si>
  <si>
    <t>Universidad de Granada</t>
  </si>
  <si>
    <t>Granada</t>
  </si>
  <si>
    <t>Nuevo acuerdo firmado Noviembre 2020. Es posible desdoblar el número de plazas=2 alumnos para 1 semestre</t>
  </si>
  <si>
    <t>Universidades nuevas (TEAMS)</t>
  </si>
  <si>
    <t>Ciudad</t>
  </si>
  <si>
    <t>País</t>
  </si>
  <si>
    <t>PSL Université Paris</t>
  </si>
  <si>
    <t>Francia</t>
  </si>
  <si>
    <t>tenemo acuerdo con Mines Paristech</t>
  </si>
  <si>
    <t>Hungría</t>
  </si>
  <si>
    <t>EELISA</t>
  </si>
  <si>
    <t>no se incluye de momento</t>
  </si>
  <si>
    <t>Italia</t>
  </si>
  <si>
    <t>ok</t>
  </si>
  <si>
    <t>Wojskowa Akademia Techniczna</t>
  </si>
  <si>
    <t>Warszawa</t>
  </si>
  <si>
    <t>Polonia</t>
  </si>
  <si>
    <t>University POLITEHNICA of Bucharest</t>
  </si>
  <si>
    <t>Rumanía</t>
  </si>
  <si>
    <t>Belgrade</t>
  </si>
  <si>
    <t>Serbia</t>
  </si>
  <si>
    <t>Istanbul</t>
  </si>
  <si>
    <t>Turquía</t>
  </si>
  <si>
    <t>CANCELAN</t>
  </si>
  <si>
    <t>PAIS</t>
  </si>
  <si>
    <t>Deadline 1</t>
  </si>
  <si>
    <t>Deadline 2</t>
  </si>
  <si>
    <t xml:space="preserve">Deadline </t>
  </si>
  <si>
    <r>
      <t xml:space="preserve">Code SECD:
</t>
    </r>
    <r>
      <rPr>
        <b/>
        <u/>
        <sz val="9"/>
        <color indexed="9"/>
        <rFont val="Arial"/>
        <family val="2"/>
      </rPr>
      <t xml:space="preserve">713-Electrical Engineering </t>
    </r>
    <r>
      <rPr>
        <sz val="9"/>
        <color indexed="9"/>
        <rFont val="Arial"/>
        <family val="2"/>
      </rPr>
      <t>(Electricity and Energy)</t>
    </r>
  </si>
  <si>
    <t>*code SECD 1</t>
  </si>
  <si>
    <t>code SECD 2</t>
  </si>
  <si>
    <t>code SECD 3</t>
  </si>
  <si>
    <t>Observaciones</t>
  </si>
  <si>
    <t>Ver e-mail de Sabine Habermalz 26/11</t>
  </si>
  <si>
    <t>Universität Ulm</t>
  </si>
  <si>
    <t>Ulm</t>
  </si>
  <si>
    <t>D ULM 01</t>
  </si>
  <si>
    <t>30 de abril (nomination) 15 de mayo (application)</t>
  </si>
  <si>
    <t>31 de octubre (nomination) 15 de noviembre (application)</t>
  </si>
  <si>
    <t>erasmus@uni-ulm.de</t>
  </si>
  <si>
    <r>
      <t xml:space="preserve">INGLÉS B1 o ALEMÁN B1 o ALEMÁN A2 + curso intensivo de alemán. Para ambos idiomas, se puede descargar el </t>
    </r>
    <r>
      <rPr>
        <b/>
        <i/>
        <sz val="8"/>
        <color indexed="10"/>
        <rFont val="Arial"/>
        <family val="2"/>
      </rPr>
      <t>certificate of language proficiency</t>
    </r>
    <r>
      <rPr>
        <b/>
        <sz val="8"/>
        <color indexed="10"/>
        <rFont val="Arial"/>
        <family val="2"/>
      </rPr>
      <t xml:space="preserve"> que puede firmar el departamento de lingüística de la ETSIT) </t>
    </r>
  </si>
  <si>
    <t>Para realizar el TFG o TFM el alumno deberá solicitar el curso entero. Mínimo 180 ECTS superados para cursar asignaturas de Máster.</t>
  </si>
  <si>
    <t>Electronics and Automation</t>
  </si>
  <si>
    <t>Institut für Mikro- und Nanomaterialien</t>
  </si>
  <si>
    <t>se añade el área 610 ICTs</t>
  </si>
  <si>
    <t>Technische Universiteit Delft</t>
  </si>
  <si>
    <t>Delft</t>
  </si>
  <si>
    <t>NL DELFT 01</t>
  </si>
  <si>
    <t>1 de marzo (nomination) - 1 de abril (aplication)</t>
  </si>
  <si>
    <t>exchange-eemcs@tudelft.nl</t>
  </si>
  <si>
    <t>TOEFL iBT 90 o IELTS 6.5 o CPE o CAE</t>
  </si>
  <si>
    <t>Asignaturas de Máster en inglés / Mínimo 180 ECTS superados para cursar asignaturas de Máster / TFG no. Extension of the exchange period is not possible .</t>
  </si>
  <si>
    <t>Electrical Engineering, Mathematics and Computer Sciences (713 (522))</t>
  </si>
  <si>
    <t>Universiteit Gent*</t>
  </si>
  <si>
    <t>B GENT 01</t>
  </si>
  <si>
    <t>QUITAR</t>
  </si>
  <si>
    <t>INGLES B2: TOEFL min 87 o IELTS 6,0 (min 6,0 in writing) o TOEIC min 785 o FCE, CAE, CPE o University language Center certifying a level B2 o HOLANDES B2 (proof that the student finished successfully a Dutch study programme of at least 1 year)</t>
  </si>
  <si>
    <t>La solicitud de alojamiento abre a ppio de abril así que es mejor hacer la e-nomination pronto aunque el deadline es 15/05</t>
  </si>
  <si>
    <t>GENT-1</t>
  </si>
  <si>
    <t>Se quita</t>
  </si>
  <si>
    <t>Universidad Católica de Salta</t>
  </si>
  <si>
    <t>Universidad Santo Tomas</t>
  </si>
  <si>
    <t>Universidad Nacional de Colombia</t>
  </si>
  <si>
    <t>VRIJE Universiteit Amsterdam</t>
  </si>
  <si>
    <t>Amsterdam</t>
  </si>
  <si>
    <t>NL AMSTERD 02</t>
  </si>
  <si>
    <t>1 de abril</t>
  </si>
  <si>
    <t>061</t>
  </si>
  <si>
    <t>INGLÉS C1 (IELTS 6.5 o TOEFL 92 o CAE o CPE)</t>
  </si>
  <si>
    <t xml:space="preserve">El TFG/TFM se puede realizar unicamente en el departamento de Computer Science. Courses from field of Computer Science/Mathematics </t>
  </si>
  <si>
    <t>No se oferta para el curso 2019-20: quieren cancelar el acuerdo</t>
  </si>
  <si>
    <t>acuerdo válido hasta 24/25</t>
  </si>
  <si>
    <t>Universidad Militar Nueva Granada</t>
  </si>
  <si>
    <t>se pueden juntar semestres e ir un curso completo</t>
  </si>
  <si>
    <t>acuerdo válido hasta el 2022/23</t>
  </si>
  <si>
    <t>no</t>
  </si>
  <si>
    <t>manuela.velez69@eia.edu.co</t>
  </si>
  <si>
    <t>Jefe de Internacionalización: Manuela Vélez Restrepo</t>
  </si>
  <si>
    <t>Puede desdoblarse el número de plazas (4 plazas x 6 meses cada una)</t>
  </si>
  <si>
    <t>acuerdo válido hasta el 2023/2024</t>
  </si>
  <si>
    <t>Universidad Iberoamericana</t>
  </si>
  <si>
    <t>acuerdo válido hasta 2021/22</t>
  </si>
  <si>
    <t>Instituto Mauá de Tecnología</t>
  </si>
  <si>
    <t>relacoes-internacionais@maua.br</t>
  </si>
  <si>
    <t>Julia Carneiro</t>
  </si>
  <si>
    <t>.</t>
  </si>
  <si>
    <t>acuerdo válido hasta 2022/23</t>
  </si>
  <si>
    <t>King's College, University of London</t>
  </si>
  <si>
    <t>UK LONDON017</t>
  </si>
  <si>
    <t>15 de marzo (e-nomination) - 31 de marzo (application)</t>
  </si>
  <si>
    <t>INGLÉS C1 (IELTS: 7.0; minimum of 6.5 in all four skills / CAE 185 overall; minimum 176 in all skills / CPE 185 overall; minimum 176 in each skill / PTE 69 overall, with a minimum of 62 in each skill / TOEFL 100 overall with a minimum of 25 in writing and 23 in each of the other skills / Trinity College London Integrated Skills in English (ISE): Level III (ISEIII) with merit in each skill). Band B of the College’s Language Requirements</t>
  </si>
  <si>
    <t>Se requiere un GPA de 3/4</t>
  </si>
  <si>
    <t>no se oferta en el 2023/24 ni en 2024/25</t>
  </si>
  <si>
    <t>École Polytechnique</t>
  </si>
  <si>
    <t>F  PALAISE01</t>
  </si>
  <si>
    <t>angelica.nivia@polytechnique.edu</t>
  </si>
  <si>
    <t>Angélica Nivia</t>
  </si>
  <si>
    <t>NO ESTÁ ACTIVO EL ACUERDO ERASMUS: NO SE OFERTA</t>
  </si>
  <si>
    <t>Enviado una propuesta en julio 2018 a Elena Muré pero sin respuesta: A RETOMAR</t>
  </si>
  <si>
    <t>ID</t>
  </si>
  <si>
    <t>Hora de inicio</t>
  </si>
  <si>
    <t>Hora de finalización</t>
  </si>
  <si>
    <t>Correo electrónico</t>
  </si>
  <si>
    <t>Nombre</t>
  </si>
  <si>
    <t>Language</t>
  </si>
  <si>
    <t>Select your country</t>
  </si>
  <si>
    <t>Nombre Universidad (OFERTA DE PLAZAS)</t>
  </si>
  <si>
    <t>Código Erasmus</t>
  </si>
  <si>
    <t>Select the name of your University (Austria)</t>
  </si>
  <si>
    <t>Select the name of your University (Belgium)</t>
  </si>
  <si>
    <t>Select the name of your University (Bulgary)</t>
  </si>
  <si>
    <t>Select the name of your University (Czech Rep.)</t>
  </si>
  <si>
    <t>Select the name of your University (Denmark)</t>
  </si>
  <si>
    <t>Select the name of your University (Finland)</t>
  </si>
  <si>
    <t>Select the name of your University (France)</t>
  </si>
  <si>
    <t>Select the name of your University (Germany)</t>
  </si>
  <si>
    <t>Select the name of your University (Greece)</t>
  </si>
  <si>
    <t>Select the name of your University (Ireland)</t>
  </si>
  <si>
    <t>Select the name of your University (Italy)</t>
  </si>
  <si>
    <t>Select the name of your University (Netherlands)</t>
  </si>
  <si>
    <t>Select the name of your University (Norway)</t>
  </si>
  <si>
    <t>Select the name of your University (North Macedonia)</t>
  </si>
  <si>
    <t>Select the name of your University (Poland)</t>
  </si>
  <si>
    <t>Select the name of your University (Portugal)</t>
  </si>
  <si>
    <t>Select the name of your University (Romania)</t>
  </si>
  <si>
    <t>Select the name of your University (Slovenia)</t>
  </si>
  <si>
    <t>Select the name of your University (Sweden)</t>
  </si>
  <si>
    <t>Select the name of your University (Switzerland)</t>
  </si>
  <si>
    <t>Select the name of your University (Turkey)</t>
  </si>
  <si>
    <t>Select the name of your University (UK)</t>
  </si>
  <si>
    <t>Please, introduce the Erasmus Code for your University, if the one shown in the previous drop-up menu was incorrect</t>
  </si>
  <si>
    <t>Name/Surname of the International Office Coordinator of your University</t>
  </si>
  <si>
    <t>e-mail address of the International Office Coordinator</t>
  </si>
  <si>
    <t>Your Name and Surname</t>
  </si>
  <si>
    <t>Your function in the International Office</t>
  </si>
  <si>
    <t>Your e-mail address</t>
  </si>
  <si>
    <t>Would you like to adjust the current number of slots?</t>
  </si>
  <si>
    <t>Please, indicate an initial proposal with the number of students (slots) you would like to increase. We will contact you to fix the final number.</t>
  </si>
  <si>
    <t>Please, indicate an initial proposal with the number of students (slots) you would like to decrease. We will contact you to fix the final number.</t>
  </si>
  <si>
    <t>We are interested in offering 3rd study cycle exchange. Would you agree to exchange students in this 3rd study cycle?</t>
  </si>
  <si>
    <t>Our current fields of study are:
- Electrical Engineering:      (714 Electronics and automation / 713 Electricity and energy)
- ICTs:                                  (611 Computer Use / 612 DB an...</t>
  </si>
  <si>
    <t>In which domains would you like to START a new student exchange program with ETS Telecomunicacion-UPM (Spain)? (several options are possible)</t>
  </si>
  <si>
    <t>Please, indicate an initial proposal with the number of students (slots) and months per each NEW field of study</t>
  </si>
  <si>
    <t>If you have any additional comments, please fill in the box</t>
  </si>
  <si>
    <t>anonymous</t>
  </si>
  <si>
    <t>Español (España, alfabetización internacional)</t>
  </si>
  <si>
    <t>Finland</t>
  </si>
  <si>
    <t>SF OULU 01</t>
  </si>
  <si>
    <t>University of Oulu (SF OULU 01)</t>
  </si>
  <si>
    <t>oulu</t>
  </si>
  <si>
    <t>jj</t>
  </si>
  <si>
    <t>uu</t>
  </si>
  <si>
    <t>Yes, we would like to decrease the current number of slots</t>
  </si>
  <si>
    <t>1</t>
  </si>
  <si>
    <t>Yes</t>
  </si>
  <si>
    <t>Computer Science (06);</t>
  </si>
  <si>
    <t>2</t>
  </si>
  <si>
    <t>lll</t>
  </si>
  <si>
    <t>France</t>
  </si>
  <si>
    <t>F CERGY 01</t>
  </si>
  <si>
    <t>Ecole Nationale Supérieure de l'Electronique et de ses Applications-ENSEA (F CERGY 01)</t>
  </si>
  <si>
    <t>Céline CABRERA</t>
  </si>
  <si>
    <t>Eneko CHIPI</t>
  </si>
  <si>
    <t>Director of international relations</t>
  </si>
  <si>
    <t>eneko.chipi@ensea.fr</t>
  </si>
  <si>
    <t>No, no additional adjustment of the current number of slots is required</t>
  </si>
  <si>
    <t xml:space="preserve">We are delighted with our cooperation and would be glad and honoured to renew it in the same conditions. If necessary for your side, we are open to any modification. </t>
  </si>
  <si>
    <t>F GIF-YVE 03</t>
  </si>
  <si>
    <t>Centrale SUPELEC (F GIF-YVE 03)</t>
  </si>
  <si>
    <t>Marc ZOLVER, Dean of International Relations at CentraleSupélec</t>
  </si>
  <si>
    <t>marc.zolver@centralesupelec.fr</t>
  </si>
  <si>
    <t>Carine MOROTTI DELORME</t>
  </si>
  <si>
    <t>Head of Study Abroad Programmes and Coordinator for Spain</t>
  </si>
  <si>
    <t>carine.morotti-delorme@centralesupelec.fr</t>
  </si>
  <si>
    <t xml:space="preserve">Buenas tardes, me parece que le convenio de renovavión entre la UPM ETSIT y el grupo Ecole Centrale está tramitando y por lo tanto estamos al día con respecto a los campos de estudios ofertados. 
Gracias. </t>
  </si>
  <si>
    <t>F ORSAY 02</t>
  </si>
  <si>
    <t>Institut d'Optique Théorique et Appliquée (F ORSAY 02)</t>
  </si>
  <si>
    <t>Pierre BALADI</t>
  </si>
  <si>
    <t>pierre.baladi@institutoptique.fr</t>
  </si>
  <si>
    <t>Head of International Relations</t>
  </si>
  <si>
    <t>Thanks for this initiative!
We are looking forward to continue our cooperation with UPM / ETSIT!</t>
  </si>
  <si>
    <t>F JOUY-JO 02</t>
  </si>
  <si>
    <t>HEC (F JOUY-JO 02)</t>
  </si>
  <si>
    <t>Iris Ritter</t>
  </si>
  <si>
    <t>ritter@hec.fr</t>
  </si>
  <si>
    <t>Director</t>
  </si>
  <si>
    <t>Turkey</t>
  </si>
  <si>
    <t>TR TEKIRDAG 01</t>
  </si>
  <si>
    <t>Namik Kemal University (TR TEKIRDAG 01)</t>
  </si>
  <si>
    <t>TR TEKIRDA01</t>
  </si>
  <si>
    <t>Hasan Selçuk ETİ</t>
  </si>
  <si>
    <t>hseti@nku.edu.tr</t>
  </si>
  <si>
    <t>Serkan Erdur</t>
  </si>
  <si>
    <t>Erasmus officer</t>
  </si>
  <si>
    <t>serkanerdur@nku.edu.tr</t>
  </si>
  <si>
    <t>Portugal</t>
  </si>
  <si>
    <t>P PORTO 05</t>
  </si>
  <si>
    <t>Instituto Politécnico do Porto (P PORTO 05)</t>
  </si>
  <si>
    <t>Carla Carneiro</t>
  </si>
  <si>
    <t>carlac@sc.ipp.pt</t>
  </si>
  <si>
    <t>Alexandra Trincão</t>
  </si>
  <si>
    <t>Head of International of ISEP ( School of Engineering POrto Polytechnic)</t>
  </si>
  <si>
    <t>relacoes.externas@isep.ipp.pt</t>
  </si>
  <si>
    <t>Germany</t>
  </si>
  <si>
    <t>Hamburg University of Technology</t>
  </si>
  <si>
    <t>D HAMBURG 03</t>
  </si>
  <si>
    <t>TUHH Technische Universität Hamburg-Harburg (D HAMBURG 03)</t>
  </si>
  <si>
    <t>The code is correct, but the name has changed to Technische Universität Hamburg</t>
  </si>
  <si>
    <t>Elvira Wilberg</t>
  </si>
  <si>
    <t>wilberg@tuhh.de</t>
  </si>
  <si>
    <t>Belgium</t>
  </si>
  <si>
    <t>B LIEGE 01</t>
  </si>
  <si>
    <t>Université de Liège (B LIEGE 01)</t>
  </si>
  <si>
    <t>Mrs. Dominique d'Arripe (Institutional Coordinator)</t>
  </si>
  <si>
    <t>dominique.darripe@uliege.be</t>
  </si>
  <si>
    <t>Christine REYNDERS</t>
  </si>
  <si>
    <t>International Officer (in charge of bilateral agreements)</t>
  </si>
  <si>
    <t>christine.reynders@uliege.be</t>
  </si>
  <si>
    <t>We will use our in-house system to be connected to EWP. It will be ready during this winter. In the menatime, we can extend our agreement for one additional year without any formalities, and proceed with official renewal as soon as our tool is ready for extending beyond 2022-2023.</t>
  </si>
  <si>
    <t>B LEUVEN 01</t>
  </si>
  <si>
    <t>Katholike Universiteit Leuven (B LEUVEN 01)</t>
  </si>
  <si>
    <t xml:space="preserve">B LEUVEN </t>
  </si>
  <si>
    <t>Pascale Conard</t>
  </si>
  <si>
    <t>pascale.conard@kuleuven.be</t>
  </si>
  <si>
    <t>Policy Advisor</t>
  </si>
  <si>
    <t>Energy Engineering (0713);</t>
  </si>
  <si>
    <t>2 x 10 months</t>
  </si>
  <si>
    <t>details of new agreement to be discussed</t>
  </si>
  <si>
    <t>Poland</t>
  </si>
  <si>
    <t>PL KRAKOW 03</t>
  </si>
  <si>
    <t>Cracow University of Technology- Politechnika Krakowska (PL KRAKOW 03)</t>
  </si>
  <si>
    <t>Daria Majka-Sitko</t>
  </si>
  <si>
    <t>dmajka-sitko@pk.edu.pl</t>
  </si>
  <si>
    <t>Joanna Bebak</t>
  </si>
  <si>
    <t>Faculty Erasmus Coordinator at Faculty of  Electrical and Computer Engineering</t>
  </si>
  <si>
    <t>dgrela@pk.edu.pl</t>
  </si>
  <si>
    <t>D AACHEN 01</t>
  </si>
  <si>
    <t>RWTH - Aachen (D AACHEN 01)</t>
  </si>
  <si>
    <t>Dr.-Ing. Kerstin Jenkes</t>
  </si>
  <si>
    <t>international@fb6.rwth-aachen.de</t>
  </si>
  <si>
    <t>Heike Hagena</t>
  </si>
  <si>
    <t>Departmental Exchange Advisor</t>
  </si>
  <si>
    <t>SF MIKKELI 06</t>
  </si>
  <si>
    <t>South-Eastern Finland University of Applied Sciences XAMK (SF MIKKELI 06)</t>
  </si>
  <si>
    <t>Eeva Virtanen</t>
  </si>
  <si>
    <t>eeva.virtanen@xamk.fi</t>
  </si>
  <si>
    <t>Institutional Erasmus Coordinator</t>
  </si>
  <si>
    <t>D ERLANGE 01</t>
  </si>
  <si>
    <t>Friedrich-Alexander Universität FAU (D ERLANGE 01)</t>
  </si>
  <si>
    <t>D ERLANGE01</t>
  </si>
  <si>
    <t>Bianca Köndgen</t>
  </si>
  <si>
    <t>erasmus@fau.de</t>
  </si>
  <si>
    <t>Boryana Klinkova</t>
  </si>
  <si>
    <t>Agreement Coordinator</t>
  </si>
  <si>
    <t>Yes, we would like to increase the current number of slots</t>
  </si>
  <si>
    <t xml:space="preserve">Not increasing, but we suggest in future to use e.g. 4x5 insetad of 2x10, so semester spots in the agreements. </t>
  </si>
  <si>
    <t>Sweden</t>
  </si>
  <si>
    <t>S LUND 01</t>
  </si>
  <si>
    <t>Lund Institute of Technology (S LUND 01)</t>
  </si>
  <si>
    <t>S LUND01</t>
  </si>
  <si>
    <t>Andréa Tarlé Borgström</t>
  </si>
  <si>
    <t>andrea.tarle_borgstrom@lth.lu.se</t>
  </si>
  <si>
    <t>International Coordinator</t>
  </si>
  <si>
    <t xml:space="preserve"> Electrical Engineering (0714);Energy Engineering (0713);Computer Science (06);Biomedical Engineering (0914);</t>
  </si>
  <si>
    <t>1 student per subject x 10 months. 4 student places in total (to LTH and to ETSIT). If possible we would  like to have flexibility in terms of student nomination in  subject areas.</t>
  </si>
  <si>
    <t>Universiteit Gent (B GENT 01)</t>
  </si>
  <si>
    <t>Geneviève Cochez</t>
  </si>
  <si>
    <t>genevieve.cochez@ugent.be</t>
  </si>
  <si>
    <t>Vanoutryve Ann</t>
  </si>
  <si>
    <t>Faculty International Office</t>
  </si>
  <si>
    <t>ann.vanoutryve@ugent.be</t>
  </si>
  <si>
    <t>F TOULOUS 16</t>
  </si>
  <si>
    <t>ISAE-SUPAERO (F TOULOUS 16)</t>
  </si>
  <si>
    <t>Evelyne Rebut</t>
  </si>
  <si>
    <t>international@isae-supaero.fr</t>
  </si>
  <si>
    <t>Corinne Garcia-Mac Cionnaith</t>
  </si>
  <si>
    <t>Head of International Partnerships</t>
  </si>
  <si>
    <t>corinne.garcia@isae-supaero.fr</t>
  </si>
  <si>
    <t xml:space="preserve">2 students for the double degree programme -1-Year masters (60 ECTS) can be taken at ETSIT-UPM:      - Master in Biomedical Engineering     - Master Universitario en Ciberseguridad     - Master in Signal Theory and Communications     - Master in Statistical &amp; Computational Information Processing													</t>
  </si>
  <si>
    <t>Biomedical Engineering (0914);Computer Science (06);Energy Engineering (0713); Electrical Engineering (0714);</t>
  </si>
  <si>
    <t>2 for 12 months</t>
  </si>
  <si>
    <t>We would like to discuss the terms of the new Erasmus + agreement for both double degree and non-degree mobility</t>
  </si>
  <si>
    <t>Italy</t>
  </si>
  <si>
    <t>I ROMA 01</t>
  </si>
  <si>
    <t>Università La Sapienza (I ROMA 01)</t>
  </si>
  <si>
    <t>Maria Ester Scarano</t>
  </si>
  <si>
    <t>erasmus.sapienza@uniroma1.it</t>
  </si>
  <si>
    <t>Daniela Lo Tenero</t>
  </si>
  <si>
    <t>Faculty coordinator (in charge also for the agreement)</t>
  </si>
  <si>
    <t>erasmus-i3s@uniroma1.it</t>
  </si>
  <si>
    <t>Universität Ulm (D ULM 01)</t>
  </si>
  <si>
    <t xml:space="preserve">D ULM01 </t>
  </si>
  <si>
    <t>Dr. Sabine Habermalz</t>
  </si>
  <si>
    <t>Erasmus+ Institutional Coordinator</t>
  </si>
  <si>
    <t>0</t>
  </si>
  <si>
    <t>2 students / 2nd cycle / 6 months each (IN &amp; OUT)</t>
  </si>
  <si>
    <t>Our internal evaluation of our existing agreements is not yet completed. In view of the fact that we had only 1 mobility in our agreement in electrical engineering during the past 7 years, I have suggested to our department of engineering, not to extend it. I have to wait for their final decision.
On the other hand, I had previously discussed with prof. Alberto Almendro to establish a new exchange specifically between your Master in Tratiamento Estatistico-Computacional de la Informacion and our Computational Science and Engineering:  https://www.uni-ulm.de/en/mawi/fakultaet/studium-und-lehre/studiengaenge-master/m-sc-computational-science-and-engineering/
This was at the EAIE conference in Sevilla (2017). Unfortunately, the negotiations were never concluded. I hope, we can start them again.
Regarding 3rd cycle mobilities, we do not wish to start with them now, but rather see the progress of the new Erasmus programm, EWP, and then make individual agreements with partners were necessary or suitable (same goes for STA/STT).</t>
  </si>
  <si>
    <t>F NANCY 43</t>
  </si>
  <si>
    <t>Université de Lorraine (F NANCY 43)</t>
  </si>
  <si>
    <t>Nathalie Fick</t>
  </si>
  <si>
    <t>drie-mobilite-contact@univ-lorraine.fr</t>
  </si>
  <si>
    <t>Vanessa Nau</t>
  </si>
  <si>
    <t>International Coordinator Télécom Nancy</t>
  </si>
  <si>
    <t>vanessa.nau@telecomnancy.eu</t>
  </si>
  <si>
    <t>There is one agreement for two French engineering schools that are part of the University of Lorraine: Mines Nancy and Télécom Nancy.</t>
  </si>
  <si>
    <t>English (United Kingdom)‎</t>
  </si>
  <si>
    <t>Denmark</t>
  </si>
  <si>
    <t>Technical University of Denmark</t>
  </si>
  <si>
    <t>DK LYNGBY 01</t>
  </si>
  <si>
    <t>Technical University of Denmark (DK LYNGBY 01)</t>
  </si>
  <si>
    <t>Institutional Erasmus+ Coordinator, International Partnership Manager</t>
  </si>
  <si>
    <t xml:space="preserve">4x5 months </t>
  </si>
  <si>
    <t xml:space="preserve">We enter agreements on behalf on all DTU students. Incoming students at DTU can choose courses in all study areas. We wish for an agreement including all fields (University wide or School/Faculty wide if not central) - securing a maximum of flexibility for students both ways. </t>
  </si>
  <si>
    <t xml:space="preserve">DTU students are nominated for 1 semester at a time. If your students prefer 1 year, we can agree on 4x5 months/2x10 months. We are open to suggestions. 
DTU students apply for exchange centrally, just as all exchange agreements are made centrally. This means that ISCED codes and study areas are not so important to us (when asked we put 0710 to make it as broad as possible). We wish to ensure a maximum flexibility in access to courses at the entire host university/school - just as incoming students at DTU can choose from all available courses across study programmes. Feel free to contact me for further information or specifications. </t>
  </si>
  <si>
    <t>SF ESPOO 12</t>
  </si>
  <si>
    <t>Aalto University (School of Electrical Engineering) (SF ESPOO 12)</t>
  </si>
  <si>
    <t>Riikka Jääskeläinen</t>
  </si>
  <si>
    <t>riikka.jaaskelainen@aalto.fi</t>
  </si>
  <si>
    <t>Anita Bisi</t>
  </si>
  <si>
    <t>International Relations Manager at the Aalto University School of Electrical Engineering</t>
  </si>
  <si>
    <t>anita.bisi@aalto.fi</t>
  </si>
  <si>
    <t>D STUTTGA 01</t>
  </si>
  <si>
    <t>Universität Stuttgart (D STUTTGA 01)</t>
  </si>
  <si>
    <t>Katja Schuster</t>
  </si>
  <si>
    <t>katja.schuster@ia.uni-stuttgart.de</t>
  </si>
  <si>
    <t>Erasmus Institutional Coordinator</t>
  </si>
  <si>
    <t>4 students for 1 semester each (= sum of 24 months) for each study field</t>
  </si>
  <si>
    <t>F EVRY 11</t>
  </si>
  <si>
    <t>Telecom Sud Paris (F EVRY 11)</t>
  </si>
  <si>
    <t>E10074639</t>
  </si>
  <si>
    <t>KATHERINE MAILLET</t>
  </si>
  <si>
    <t xml:space="preserve">international@telecom-sudparis.eu </t>
  </si>
  <si>
    <t>PELE NATASA</t>
  </si>
  <si>
    <t>Responsible for development of International affairs</t>
  </si>
  <si>
    <t>natasa.pele@telecom-sudparis.eu</t>
  </si>
  <si>
    <t>4</t>
  </si>
  <si>
    <t xml:space="preserve">About the number of slots, the fields to be added or degree of cycle should be discussed please. 
Thank you very much, kind regards
</t>
  </si>
  <si>
    <t xml:space="preserve">Tampere University </t>
  </si>
  <si>
    <t>SF TAMPERE 17</t>
  </si>
  <si>
    <t>Tampere University (SF TAMPERE 17)</t>
  </si>
  <si>
    <t>Katri Yli-Korpula (e.g. nominations and applications) / Faculty of Engineering and Natural Sciences (ENS)</t>
  </si>
  <si>
    <t>katri.yli-korpula@tuni.fi; mobility.tau@tuni.fi</t>
  </si>
  <si>
    <t>Kaisu Kalliomäki (e.g. agreement renewal process) / Faculty of Engineering and Natural Sciences (ENS)</t>
  </si>
  <si>
    <t>Coordinator</t>
  </si>
  <si>
    <t>kaisu.kalliomaki@tuni.fi; mobility.tau@tuni.fi</t>
  </si>
  <si>
    <t>I (Kaisu Kalliomäki / kaisu.kalliomaki@tuni.fi; mobility.tau@tuni.fi) will be in charge of the agreement renewal process in the Faculty of Engineering and Natural Sciences at Tampere University. We would be happy to continue the cooperation with ETSI Telecomunicación in the field of electronics and automation. From our point of view, there is no hurry and we can return to the whole agreement discussion a bit later once the online IIA manager is up and running. The summer holiday season has actually already begun in Finland, and we will be responding to questions about the renewal process again in August. Thank you for your cooperation and have a great summer!</t>
  </si>
  <si>
    <t>F CAEN 05</t>
  </si>
  <si>
    <t>École Nationale Supérieure d'Ingénieurs de Caen ENSICAEN  (F CAEN 05)</t>
  </si>
  <si>
    <t>Dr. Jean-Michel RUEFF</t>
  </si>
  <si>
    <t>jean-michel.rueff@ensicaen.fr</t>
  </si>
  <si>
    <t>Ms. Pauline MORCEAU</t>
  </si>
  <si>
    <t>ERASMUS coordinator</t>
  </si>
  <si>
    <t>pauline.morceau@ensicaen.fr</t>
  </si>
  <si>
    <t>4 for 24 months (4 x 6 months)</t>
  </si>
  <si>
    <t>4x6 months</t>
  </si>
  <si>
    <t>F PARIS 083</t>
  </si>
  <si>
    <t>Telecom Paris (F PARIS 083)</t>
  </si>
  <si>
    <t>Catherine VAZZA</t>
  </si>
  <si>
    <t>catherine.vazza@telecom-paris.fr</t>
  </si>
  <si>
    <t>Nicolas PROST</t>
  </si>
  <si>
    <t>International projects Manager</t>
  </si>
  <si>
    <t>nicolas.prost@telecom-paris.fr</t>
  </si>
  <si>
    <t>3x12 months</t>
  </si>
  <si>
    <t>F PARIS 06</t>
  </si>
  <si>
    <t>Sorbonne Université (F PARIS 06)</t>
  </si>
  <si>
    <t>F PARIS 468</t>
  </si>
  <si>
    <t>Aurore MONFLIER</t>
  </si>
  <si>
    <t>aurore.monflier@sorbonne-universite.fr</t>
  </si>
  <si>
    <t>isabelle levisalles</t>
  </si>
  <si>
    <t>in charge of the Erasmus + Renewal agreement</t>
  </si>
  <si>
    <t>isabelle.levisalles@sorbonne-universite.fr</t>
  </si>
  <si>
    <t>TR ISTANBU 07</t>
  </si>
  <si>
    <t>Yildiz Technical University (TR ISTANBU 07)</t>
  </si>
  <si>
    <t>Dr. Murat Turhan</t>
  </si>
  <si>
    <t>turhan@yildiz.edu.tr</t>
  </si>
  <si>
    <t>Fatma Karaca Turhan</t>
  </si>
  <si>
    <t>Officer in charge of Inter Institutional Agreements (IIAs)</t>
  </si>
  <si>
    <t>bilateralagreements@yildiz.edu.tr</t>
  </si>
  <si>
    <t xml:space="preserve"> Electrical Engineering (0714);Computer Science (06);</t>
  </si>
  <si>
    <t>Science in Data Engineering and Systems: 4 studens X 5 months (undergrad) + 2 students X 10 months (Master Level). Electrical Engineering (open to negotiation at Undergraduate and Master Level)</t>
  </si>
  <si>
    <t>We will move to EWP fully in July at the earliest. We are now waiting for KION to make the software ready to run. After that we will be ready for our agreements. In the meanwhile, if we are not visible on the system, please note that we will be there shortly. Looking forward to our collaboration. Gracias!</t>
  </si>
  <si>
    <t>I MILANO 02</t>
  </si>
  <si>
    <t>Politecnico di Milano (I MILANO 02)</t>
  </si>
  <si>
    <t>Prof. Stefano Ronchi</t>
  </si>
  <si>
    <t>erasmus@polimi.it</t>
  </si>
  <si>
    <t>Inter-institutional Erasmus agreements with France, Spain and UK</t>
  </si>
  <si>
    <t>please note we already increased numbers with ETSIT to a total of 8 slots from 2021/22 (confirmed by e-mail and to be translated in digital form when we are both ready). All disciplines mentioned above are included as well as Elecrtonics and Mathematical engineering</t>
  </si>
  <si>
    <t>F LILLE 14</t>
  </si>
  <si>
    <t>Central Lille (F LILLE 14)</t>
  </si>
  <si>
    <t>Mathieu/Thomas de la Pintière</t>
  </si>
  <si>
    <t>direction.ria@centralelille.fr</t>
  </si>
  <si>
    <t>Mathieu Thomas de la Pintière</t>
  </si>
  <si>
    <t>Director of International and Academic Relations</t>
  </si>
  <si>
    <t>Energy Engineering (0713);Computer Science (06);</t>
  </si>
  <si>
    <t>1 student / 24 months</t>
  </si>
  <si>
    <t>TR ISTANBU 05</t>
  </si>
  <si>
    <t>Marmara Üniversitesi (TR ISTANBU 05)</t>
  </si>
  <si>
    <t>Nuri TINAZ</t>
  </si>
  <si>
    <t>nuri.tinaz@marmara.edu.tr</t>
  </si>
  <si>
    <t>Ferhat ISIK</t>
  </si>
  <si>
    <t>Officer-Outgoing Students Office</t>
  </si>
  <si>
    <t>erasmus@marmara.edu.tr</t>
  </si>
  <si>
    <t>Dear Colleagues, 
Erasmus IIAs are initialized by faculty and departmental coordinators of the university autonomously. Therefore I could not speak on their behalf when it comes to expanding Erasmus IIAs to new fields. We are adamant about determining exact number of  students from each study cycle that can utilize from the bilateral agreement. I would be glad if you could keep quotas for study cycles seperated. I hope that new era of Erasmus+ will be beneficial for both institutions. Kind regards</t>
  </si>
  <si>
    <t>I NAPOLI 01</t>
  </si>
  <si>
    <t>Universitá degli Studi di Napoli Federico II (I NAPOLI 01)</t>
  </si>
  <si>
    <t>INAPOLI01</t>
  </si>
  <si>
    <t>Fernanda Nicotera</t>
  </si>
  <si>
    <t>international@unina.it</t>
  </si>
  <si>
    <t>Marta Maciocia</t>
  </si>
  <si>
    <t>IRO Officer</t>
  </si>
  <si>
    <t>erasmus.agreements@unina.it</t>
  </si>
  <si>
    <t>D SAARBRU 01</t>
  </si>
  <si>
    <t>Universität des Saarlandes (D SAARBRU 01)</t>
  </si>
  <si>
    <t>D SAARBRU01</t>
  </si>
  <si>
    <t>Fabienne SAUNIER</t>
  </si>
  <si>
    <t>f.saunier@io.uni-saarland.de</t>
  </si>
  <si>
    <t>Fabienne Saunier</t>
  </si>
  <si>
    <t>We would like to cancel the agreement in Biomedical Engineering (Medical Diagnostic and Treatment)</t>
  </si>
  <si>
    <t>We would like to maintain the cooperation in Electrical Engineering and Computer AND delete the cooperation in Biomedical Engineering. Thank you</t>
  </si>
  <si>
    <t>PL POZNAN 02</t>
  </si>
  <si>
    <t>Poznan University of Technology (PL POZNAN 02)</t>
  </si>
  <si>
    <t>Magdalena Zawirska-Wolniewicz</t>
  </si>
  <si>
    <t>Irena Szymanowska</t>
  </si>
  <si>
    <t>International Cooperation Specialist Erasmus+ Programme</t>
  </si>
  <si>
    <t>outgoing@put.poznan.pl</t>
  </si>
  <si>
    <t xml:space="preserve"> Electrical Engineering (0714);Biomedical Engineering (0914);</t>
  </si>
  <si>
    <t>2 students for 10 months each</t>
  </si>
  <si>
    <t>Cuenta de UNIVERSIDAD</t>
  </si>
  <si>
    <t>Total</t>
  </si>
  <si>
    <t>(en blanco)</t>
  </si>
  <si>
    <t>Total Belgium</t>
  </si>
  <si>
    <t>Total Denmark</t>
  </si>
  <si>
    <t>Total Finland</t>
  </si>
  <si>
    <t>Total France</t>
  </si>
  <si>
    <t>Total No, no additional adjustment of the current number of slots is required</t>
  </si>
  <si>
    <t>Total Yes, we would like to decrease the current number of slots</t>
  </si>
  <si>
    <t>Total Germany</t>
  </si>
  <si>
    <t>2 students for the double degree programme -1-Year masters (60 ECTS) can be taken at ETSIT-UPM:      - Master in Biomedical Engineering     - Master Universitario en Ciberseguridad     - Master in Signal Theory and Communications     - Master in Statistic</t>
  </si>
  <si>
    <t>Total Italy</t>
  </si>
  <si>
    <t>Total Poland</t>
  </si>
  <si>
    <t>Total Yes, we would like to increase the current number of slots</t>
  </si>
  <si>
    <t>Total Portugal</t>
  </si>
  <si>
    <t>Total general</t>
  </si>
  <si>
    <t>Total Sweden</t>
  </si>
  <si>
    <t>Total Turkey</t>
  </si>
  <si>
    <t>Centro UPM</t>
  </si>
  <si>
    <t>Universidad (OFERTA DE PLAZAS)</t>
  </si>
  <si>
    <t>Código Erasmus (OFERTA DE PLAZAS)</t>
  </si>
  <si>
    <t>Universidad (TEAMS)</t>
  </si>
  <si>
    <t>PIC</t>
  </si>
  <si>
    <t>Cursos Cortos</t>
  </si>
  <si>
    <t>Estudio Propio</t>
  </si>
  <si>
    <t>Estudios Propios Europeo</t>
  </si>
  <si>
    <t>Grado</t>
  </si>
  <si>
    <t>Master Universitario Oficial</t>
  </si>
  <si>
    <t>DOF</t>
  </si>
  <si>
    <t>Postgrado Doctorado</t>
  </si>
  <si>
    <t>Tercer Ciclo</t>
  </si>
  <si>
    <r>
      <t xml:space="preserve">Plazas(meses) </t>
    </r>
    <r>
      <rPr>
        <b/>
        <u/>
        <sz val="11"/>
        <color indexed="9"/>
        <rFont val="Calibri"/>
        <family val="2"/>
      </rPr>
      <t>salientes</t>
    </r>
    <r>
      <rPr>
        <b/>
        <sz val="11"/>
        <color indexed="9"/>
        <rFont val="Calibri"/>
        <family val="2"/>
      </rPr>
      <t xml:space="preserve"> TOTALES POR AÑO Tipo </t>
    </r>
    <r>
      <rPr>
        <b/>
        <u/>
        <sz val="11"/>
        <color indexed="9"/>
        <rFont val="Calibri"/>
        <family val="2"/>
      </rPr>
      <t>Student</t>
    </r>
    <r>
      <rPr>
        <b/>
        <sz val="11"/>
        <color indexed="9"/>
        <rFont val="Calibri"/>
        <family val="2"/>
      </rPr>
      <t xml:space="preserve"> Mobility for Studies </t>
    </r>
  </si>
  <si>
    <t>INTERÉS EN RENOVAR (SI/NO)</t>
  </si>
  <si>
    <t>Plazas por Área ISCED-F code (Ej: 0714- Electronics and Automation)</t>
  </si>
  <si>
    <r>
      <t xml:space="preserve">Plazas(meses) </t>
    </r>
    <r>
      <rPr>
        <b/>
        <u/>
        <sz val="11"/>
        <color indexed="9"/>
        <rFont val="Calibri"/>
        <family val="2"/>
      </rPr>
      <t>Entrantes</t>
    </r>
    <r>
      <rPr>
        <b/>
        <sz val="11"/>
        <color indexed="9"/>
        <rFont val="Calibri"/>
        <family val="2"/>
      </rPr>
      <t xml:space="preserve"> TOTALES POR AÑO Tipo </t>
    </r>
    <r>
      <rPr>
        <b/>
        <u/>
        <sz val="11"/>
        <color indexed="9"/>
        <rFont val="Calibri"/>
        <family val="2"/>
      </rPr>
      <t>Student</t>
    </r>
    <r>
      <rPr>
        <b/>
        <sz val="11"/>
        <color indexed="9"/>
        <rFont val="Calibri"/>
        <family val="2"/>
      </rPr>
      <t xml:space="preserve"> Mobility for Studies </t>
    </r>
  </si>
  <si>
    <r>
      <t xml:space="preserve">Plazas(Tiempo) </t>
    </r>
    <r>
      <rPr>
        <b/>
        <u/>
        <sz val="11"/>
        <color indexed="9"/>
        <rFont val="Calibri"/>
        <family val="2"/>
      </rPr>
      <t>Salientes</t>
    </r>
    <r>
      <rPr>
        <b/>
        <sz val="11"/>
        <color indexed="9"/>
        <rFont val="Calibri"/>
        <family val="2"/>
      </rPr>
      <t xml:space="preserve"> TOTALES POR AÑO Tipo </t>
    </r>
    <r>
      <rPr>
        <b/>
        <u/>
        <sz val="11"/>
        <color indexed="9"/>
        <rFont val="Calibri"/>
        <family val="2"/>
      </rPr>
      <t>Student</t>
    </r>
    <r>
      <rPr>
        <b/>
        <sz val="11"/>
        <color indexed="9"/>
        <rFont val="Calibri"/>
        <family val="2"/>
      </rPr>
      <t xml:space="preserve"> Mobility for Studies  </t>
    </r>
  </si>
  <si>
    <r>
      <t xml:space="preserve">Plazas(Tiempo) </t>
    </r>
    <r>
      <rPr>
        <b/>
        <u/>
        <sz val="11"/>
        <color indexed="9"/>
        <rFont val="Calibri"/>
        <family val="2"/>
      </rPr>
      <t>Entrantes</t>
    </r>
    <r>
      <rPr>
        <b/>
        <sz val="11"/>
        <color indexed="9"/>
        <rFont val="Calibri"/>
        <family val="2"/>
      </rPr>
      <t xml:space="preserve"> TOTALES POR AÑO Tipo  </t>
    </r>
    <r>
      <rPr>
        <b/>
        <u/>
        <sz val="11"/>
        <color indexed="9"/>
        <rFont val="Calibri"/>
        <family val="2"/>
      </rPr>
      <t>Staff</t>
    </r>
    <r>
      <rPr>
        <b/>
        <sz val="11"/>
        <color indexed="9"/>
        <rFont val="Calibri"/>
        <family val="2"/>
      </rPr>
      <t xml:space="preserve"> Mobility for Teaching </t>
    </r>
  </si>
  <si>
    <r>
      <t xml:space="preserve">Plazas(Tiempo) </t>
    </r>
    <r>
      <rPr>
        <b/>
        <u/>
        <sz val="11"/>
        <color indexed="9"/>
        <rFont val="Calibri"/>
        <family val="2"/>
      </rPr>
      <t>Salientes</t>
    </r>
    <r>
      <rPr>
        <b/>
        <sz val="11"/>
        <color indexed="9"/>
        <rFont val="Calibri"/>
        <family val="2"/>
      </rPr>
      <t xml:space="preserve"> TOTALES POR AÑO Tipo  </t>
    </r>
    <r>
      <rPr>
        <b/>
        <u/>
        <sz val="11"/>
        <color indexed="9"/>
        <rFont val="Calibri"/>
        <family val="2"/>
      </rPr>
      <t>Staff</t>
    </r>
    <r>
      <rPr>
        <b/>
        <sz val="11"/>
        <color indexed="9"/>
        <rFont val="Calibri"/>
        <family val="2"/>
      </rPr>
      <t xml:space="preserve"> Mobility for Teaching </t>
    </r>
  </si>
  <si>
    <r>
      <t xml:space="preserve">Calendario DeadLine </t>
    </r>
    <r>
      <rPr>
        <b/>
        <u/>
        <sz val="11"/>
        <color indexed="9"/>
        <rFont val="Calibri"/>
        <family val="2"/>
      </rPr>
      <t>Nominaciones</t>
    </r>
    <r>
      <rPr>
        <b/>
        <sz val="11"/>
        <color indexed="9"/>
        <rFont val="Calibri"/>
        <family val="2"/>
      </rPr>
      <t xml:space="preserve"> (autumn term)</t>
    </r>
  </si>
  <si>
    <r>
      <t xml:space="preserve">Calendario DeadLine </t>
    </r>
    <r>
      <rPr>
        <b/>
        <u/>
        <sz val="11"/>
        <color indexed="9"/>
        <rFont val="Calibri"/>
        <family val="2"/>
      </rPr>
      <t>Nominaciones</t>
    </r>
    <r>
      <rPr>
        <b/>
        <sz val="11"/>
        <color indexed="9"/>
        <rFont val="Calibri"/>
        <family val="2"/>
      </rPr>
      <t xml:space="preserve"> (spring term)</t>
    </r>
  </si>
  <si>
    <r>
      <t xml:space="preserve">Calendario DeadLine </t>
    </r>
    <r>
      <rPr>
        <b/>
        <u/>
        <sz val="11"/>
        <color indexed="9"/>
        <rFont val="Calibri"/>
        <family val="2"/>
      </rPr>
      <t>Inscripciones</t>
    </r>
    <r>
      <rPr>
        <b/>
        <sz val="11"/>
        <color indexed="9"/>
        <rFont val="Calibri"/>
        <family val="2"/>
      </rPr>
      <t xml:space="preserve"> (autumn term)</t>
    </r>
  </si>
  <si>
    <r>
      <t xml:space="preserve">Calendario DeadLine </t>
    </r>
    <r>
      <rPr>
        <b/>
        <u/>
        <sz val="11"/>
        <color indexed="9"/>
        <rFont val="Calibri"/>
        <family val="2"/>
      </rPr>
      <t>Inscripciones</t>
    </r>
    <r>
      <rPr>
        <b/>
        <sz val="11"/>
        <color indexed="9"/>
        <rFont val="Calibri"/>
        <family val="2"/>
      </rPr>
      <t xml:space="preserve"> (spring term)</t>
    </r>
  </si>
  <si>
    <t xml:space="preserve">Lenguaje de instrucción </t>
  </si>
  <si>
    <t>NIVEL  (mínimo recomendado B1)</t>
  </si>
  <si>
    <t>AÑOS VIGENCIA (comienzo - fin) por defecto 2021-20[29]</t>
  </si>
  <si>
    <t>Nombre del contacto en la escuela</t>
  </si>
  <si>
    <t>Mail de contacto en la escuela</t>
  </si>
  <si>
    <t>Movilidad combinada presencial-virtual (S/N)</t>
  </si>
  <si>
    <t>E.T.S.I. Telecomunicación</t>
  </si>
  <si>
    <t>Alemania</t>
  </si>
  <si>
    <t>Westfälische Technische Hochschule Aachen</t>
  </si>
  <si>
    <t>4(12)</t>
  </si>
  <si>
    <t>714: Electronics and Automation</t>
  </si>
  <si>
    <t>Spanish</t>
  </si>
  <si>
    <t>Spanish: A2 + UPM intensive Spanish course or B1</t>
  </si>
  <si>
    <t>Jesús Fraile-Ardanuy</t>
  </si>
  <si>
    <t>international.etsit@upm.es</t>
  </si>
  <si>
    <t>English</t>
  </si>
  <si>
    <t>English: B2</t>
  </si>
  <si>
    <t>Berlin</t>
  </si>
  <si>
    <t>Technische Universität Berlin</t>
  </si>
  <si>
    <t>2(10)</t>
  </si>
  <si>
    <t>2(12)</t>
  </si>
  <si>
    <t>Rheinische Friedrich-Wilhelms- Universität Bonn</t>
  </si>
  <si>
    <t>3(12)</t>
  </si>
  <si>
    <t>610: ICTs</t>
  </si>
  <si>
    <t>Braunschweig</t>
  </si>
  <si>
    <t>Technische Universität Carolo-Wilhelmina zu Braunschweig</t>
  </si>
  <si>
    <t>1(12)</t>
  </si>
  <si>
    <t>Erlangen / Nürnberg</t>
  </si>
  <si>
    <t>Friedrich-Alexander-Universität Erlangen-Nürnberg</t>
  </si>
  <si>
    <t>4(10)</t>
  </si>
  <si>
    <t>914: Biomedical Engineering</t>
  </si>
  <si>
    <t>6(12)</t>
  </si>
  <si>
    <t>713: Electricity and Energy</t>
  </si>
  <si>
    <t>Manheim University of Applied Sciences</t>
  </si>
  <si>
    <t>Hochschule Mannheim</t>
  </si>
  <si>
    <t>8(6)</t>
  </si>
  <si>
    <t>2 (12)</t>
  </si>
  <si>
    <t>Saarbrücken</t>
  </si>
  <si>
    <t>Stuttgart</t>
  </si>
  <si>
    <t>610 ICTs</t>
  </si>
  <si>
    <t>Austria</t>
  </si>
  <si>
    <t>3(10)</t>
  </si>
  <si>
    <t>Wien</t>
  </si>
  <si>
    <t>se añade el área de bio acordado con TU Wien</t>
  </si>
  <si>
    <t>Bélgica</t>
  </si>
  <si>
    <t>Bruxelles</t>
  </si>
  <si>
    <t>Université Libre de Bruxelles ULB</t>
  </si>
  <si>
    <t>Université Libre de Bruxelles</t>
  </si>
  <si>
    <t xml:space="preserve"> 713 Electricity and Energy y solamente en el ciclo de master.</t>
  </si>
  <si>
    <t>NO SE RENUEVA</t>
  </si>
  <si>
    <t>Katholieke Universiteit Leuven</t>
  </si>
  <si>
    <t>Katholieke Universiteit Leuven*</t>
  </si>
  <si>
    <t>REPLICADO</t>
  </si>
  <si>
    <t>Liège</t>
  </si>
  <si>
    <t>Louvain-La Neuve</t>
  </si>
  <si>
    <t>Université Catholique de Louvain</t>
  </si>
  <si>
    <t>Bulgaria</t>
  </si>
  <si>
    <t>Rousse</t>
  </si>
  <si>
    <t>University of Rousse "Angel Kanchev"</t>
  </si>
  <si>
    <t>2(5)</t>
  </si>
  <si>
    <t>Dinamarca</t>
  </si>
  <si>
    <t>Ålborg</t>
  </si>
  <si>
    <t>Aalborg Universitet</t>
  </si>
  <si>
    <t>Lyngby</t>
  </si>
  <si>
    <t>Danmarks Tekniske Universitet*</t>
  </si>
  <si>
    <t>Eslovenia</t>
  </si>
  <si>
    <t>Univerza v Ljubljani</t>
  </si>
  <si>
    <t>Finlandia</t>
  </si>
  <si>
    <t>Aalto</t>
  </si>
  <si>
    <t>AALTO UNIVERSITY, SCHOOL OF ART, DESING AND ARCHITECTURE</t>
  </si>
  <si>
    <t>1(10)</t>
  </si>
  <si>
    <t>Mikkelin</t>
  </si>
  <si>
    <t>Mikkelin Ammattikorkeakoulu</t>
  </si>
  <si>
    <t>Oulun</t>
  </si>
  <si>
    <t>Oulun Yliopisto</t>
  </si>
  <si>
    <t>Tampereen yliopisto</t>
  </si>
  <si>
    <t>Université de Franche-Comté UFC</t>
  </si>
  <si>
    <t>Institut Polytechnique de Bordeaux</t>
  </si>
  <si>
    <t>714: Electronics and Automatio</t>
  </si>
  <si>
    <t>se añade el área 610 ICTs acordado con ENSEIRB</t>
  </si>
  <si>
    <t>Ecole Nationale d'Ingénieurs de Brest (ENIB)</t>
  </si>
  <si>
    <t>5(12)</t>
  </si>
  <si>
    <t>École Nationale Supérieure d'Ingénieurs de Caen</t>
  </si>
  <si>
    <t>se añade el área de bio acordado con ENSICAEN</t>
  </si>
  <si>
    <t>Cergy</t>
  </si>
  <si>
    <t>Ecole Nationale Superieure de l'Electronique et de ses Application</t>
  </si>
  <si>
    <t>Evry</t>
  </si>
  <si>
    <t>TELECOM SudParÃ­s</t>
  </si>
  <si>
    <t>Gif sur Yvette</t>
  </si>
  <si>
    <t>Ecole CentralSupelec (ECP+ ESE)</t>
  </si>
  <si>
    <t>I.N.P. de Grenoble</t>
  </si>
  <si>
    <t>5(10)</t>
  </si>
  <si>
    <t>5(6)</t>
  </si>
  <si>
    <t>Jouy-en-Josas</t>
  </si>
  <si>
    <t>IMT Lille DOUAI</t>
  </si>
  <si>
    <t>IMT Lille Douai</t>
  </si>
  <si>
    <t>Université des Sciences et Technologies de Lille</t>
  </si>
  <si>
    <t>Institut National des Sciences Appliquees de Lyon</t>
  </si>
  <si>
    <t>se añade el área de bio 914</t>
  </si>
  <si>
    <t>Université de Lorraine</t>
  </si>
  <si>
    <t>École Centrale de Nantes</t>
  </si>
  <si>
    <t>Ecole Centrale de Nantes</t>
  </si>
  <si>
    <t>2(6)</t>
  </si>
  <si>
    <t>1 (12)</t>
  </si>
  <si>
    <t>Université de Nantes</t>
  </si>
  <si>
    <t>2(9)</t>
  </si>
  <si>
    <t>Orsay</t>
  </si>
  <si>
    <t>Institut d Optique Theorique et Appliquee</t>
  </si>
  <si>
    <t>Ecole Nationale Superieure de Techniques Avancees</t>
  </si>
  <si>
    <t>Mines Paristech</t>
  </si>
  <si>
    <t>MINES ParisTech</t>
  </si>
  <si>
    <t>Sorbonne UniversitÃ©</t>
  </si>
  <si>
    <t>solicitan aumentar el nº de alumnos de 2 a 3. Estamos de acuerdo</t>
  </si>
  <si>
    <t>Ecole Nationale d'Ingenieurs de Tarbes</t>
  </si>
  <si>
    <t>1(6)</t>
  </si>
  <si>
    <t>Ecole Nationale Superieure de l'Aeronautique et de l'Espace</t>
  </si>
  <si>
    <t>Ensica</t>
  </si>
  <si>
    <t>Ecole Nationale Superieure d'Ingenieurs de Constructions Aeronautiques</t>
  </si>
  <si>
    <t>Institut National Polytechnique de Toulouse</t>
  </si>
  <si>
    <t>École Nacionale Supérieure d'Ingénieurs ENSIAME - Université Polytechnique Hauts-de-France UPHF</t>
  </si>
  <si>
    <t>Université de Valenciennes et du Hainaut-Cambresis</t>
  </si>
  <si>
    <t>3(6)</t>
  </si>
  <si>
    <t>Bicetre</t>
  </si>
  <si>
    <t>EPITA École pour l'Informatique et les Techniques Avancées</t>
  </si>
  <si>
    <t>NUEVO</t>
  </si>
  <si>
    <t>En trámite</t>
  </si>
  <si>
    <t>English: B1</t>
  </si>
  <si>
    <t>forma parte de EELISA, en trámite</t>
  </si>
  <si>
    <t>Grecia</t>
  </si>
  <si>
    <t xml:space="preserve">University of West Attica  </t>
  </si>
  <si>
    <t>por University of West Attica</t>
  </si>
  <si>
    <t>713: Elctricity and Energy</t>
  </si>
  <si>
    <t>Irlanda</t>
  </si>
  <si>
    <t>Univ. of Limerick</t>
  </si>
  <si>
    <t>Firenze</t>
  </si>
  <si>
    <t>Milano</t>
  </si>
  <si>
    <t>8(12)</t>
  </si>
  <si>
    <t>no se desdobla el número de plazas / se aumentó el número de alumnos en el curso 2020-21 pasando de 4 a 8</t>
  </si>
  <si>
    <t>Napoli</t>
  </si>
  <si>
    <t>Università degli Studi di Napoli Federico II</t>
  </si>
  <si>
    <t>Università degli Studi di Napoli 'Parthenope'</t>
  </si>
  <si>
    <t>Universitá degli Studi di Padova</t>
  </si>
  <si>
    <t>Università degli Studi di Roma 'La Sapienza'</t>
  </si>
  <si>
    <t>0610: ICTs</t>
  </si>
  <si>
    <t>Torino</t>
  </si>
  <si>
    <t>English: B73</t>
  </si>
  <si>
    <t>2 (10)</t>
  </si>
  <si>
    <t>Macedonia</t>
  </si>
  <si>
    <t>English: B75</t>
  </si>
  <si>
    <t>Noruega</t>
  </si>
  <si>
    <t>Hogskolen i Narvik</t>
  </si>
  <si>
    <t>Høgskolen i Narvik</t>
  </si>
  <si>
    <t>English: B76</t>
  </si>
  <si>
    <t>English: B77</t>
  </si>
  <si>
    <t>Países Bajos</t>
  </si>
  <si>
    <t>4(6)</t>
  </si>
  <si>
    <t>English: B78</t>
  </si>
  <si>
    <t>English: B79</t>
  </si>
  <si>
    <t>Kraków</t>
  </si>
  <si>
    <t>AGH University of Science and Technology</t>
  </si>
  <si>
    <t>Akademia Górniczo-Hutnicza im. Stanislawa Staszica w Krakowie</t>
  </si>
  <si>
    <t>English: B80</t>
  </si>
  <si>
    <t>5(5)</t>
  </si>
  <si>
    <t>3 (12)</t>
  </si>
  <si>
    <t>English: B81</t>
  </si>
  <si>
    <t>Lódz</t>
  </si>
  <si>
    <t>Lodz University of Technology</t>
  </si>
  <si>
    <t>English: B82</t>
  </si>
  <si>
    <t>Politechnika Poznanska</t>
  </si>
  <si>
    <t>English: B83</t>
  </si>
  <si>
    <t>Szcecin</t>
  </si>
  <si>
    <t>West Pomeranian University</t>
  </si>
  <si>
    <t>English: B84</t>
  </si>
  <si>
    <t>914:Biomedical Engineering</t>
  </si>
  <si>
    <t>714: Elecrical Engineering</t>
  </si>
  <si>
    <t>English: B85</t>
  </si>
  <si>
    <t>DESCONOCIDA</t>
  </si>
  <si>
    <t>Politechnika Wroclwskca/Wroclaw University of Thechnology</t>
  </si>
  <si>
    <t>English: B87</t>
  </si>
  <si>
    <t>English: B88</t>
  </si>
  <si>
    <t>Covilha</t>
  </si>
  <si>
    <t>English: B89</t>
  </si>
  <si>
    <t>Instituto Politécnico de Leiria</t>
  </si>
  <si>
    <t>English: B90</t>
  </si>
  <si>
    <t>Universidade de Lisboa</t>
  </si>
  <si>
    <t>10(12)</t>
  </si>
  <si>
    <t>7(12)</t>
  </si>
  <si>
    <t>Queremos renovar con el Técnico di Lisboa (IST) / MTIH 5 plazas* 6 meses / GIB 2 plazas*12 meses / GITST-MUIT: 2 plazas*12 meses</t>
  </si>
  <si>
    <t>English: B91</t>
  </si>
  <si>
    <t>English: B92</t>
  </si>
  <si>
    <t>Reino Unido</t>
  </si>
  <si>
    <t>London</t>
  </si>
  <si>
    <t>King's College London</t>
  </si>
  <si>
    <t>FUERA DE ERASMUS</t>
  </si>
  <si>
    <t>0610 ICTs</t>
  </si>
  <si>
    <t>Queen Mary and Westfield College - University of London</t>
  </si>
  <si>
    <t>1(9)</t>
  </si>
  <si>
    <t>República Checa</t>
  </si>
  <si>
    <t>Praha</t>
  </si>
  <si>
    <t>English: B95</t>
  </si>
  <si>
    <t>Bucuresti</t>
  </si>
  <si>
    <t>Academia Tehnica Militara din Bucaresti MTA</t>
  </si>
  <si>
    <t>Academia Tehnica Militara din Bucuresti</t>
  </si>
  <si>
    <t>English: B96</t>
  </si>
  <si>
    <t>Universitatea 'Lucian Blaga' din Sibiu</t>
  </si>
  <si>
    <t>English: B97</t>
  </si>
  <si>
    <t>University of Belgrade - School of Electrical Engineering:</t>
  </si>
  <si>
    <t>forma parte de EELISA / acuerdo firmado recientemente (julio 2021)</t>
  </si>
  <si>
    <t>Suecia</t>
  </si>
  <si>
    <t>Eskilstuna and Västerås (twin campus)</t>
  </si>
  <si>
    <t>Mälardalens högskola</t>
  </si>
  <si>
    <t>English: B98</t>
  </si>
  <si>
    <t>Jonköping</t>
  </si>
  <si>
    <t>Högskolan i Jonköping</t>
  </si>
  <si>
    <t>English: B99</t>
  </si>
  <si>
    <t>Blekinge tekniska högskola</t>
  </si>
  <si>
    <t>English: B100</t>
  </si>
  <si>
    <t>English: B101</t>
  </si>
  <si>
    <t>Luleå tekniska universitet</t>
  </si>
  <si>
    <t>English: B102</t>
  </si>
  <si>
    <t>English: B103</t>
  </si>
  <si>
    <t>Stockholm</t>
  </si>
  <si>
    <t>English: B104</t>
  </si>
  <si>
    <t>Istanbul - Marmara Üniversitesi</t>
  </si>
  <si>
    <t>English: B105</t>
  </si>
  <si>
    <t>Yildiz Teknik Universitesi</t>
  </si>
  <si>
    <t>Namik Kemal Üniversitesi</t>
  </si>
  <si>
    <t xml:space="preserve">F LILLE14 </t>
  </si>
  <si>
    <t>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</si>
</sst>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 h:mm:ss"/>
  </numFmts>
  <fonts count="80">
    <font>
      <sz val="11"/>
      <color theme="1"/>
      <name val="Calibri"/>
      <family val="2"/>
      <scheme val="minor"/>
    </font>
    <font>
      <b/>
      <sz val="10"/>
      <color indexed="9"/>
      <name val="Arial"/>
      <family val="2"/>
    </font>
    <font>
      <b/>
      <sz val="8"/>
      <name val="Arial"/>
      <family val="2"/>
    </font>
    <font>
      <b/>
      <sz val="8"/>
      <color indexed="10"/>
      <name val="Arial"/>
      <family val="2"/>
    </font>
    <font>
      <b/>
      <sz val="8"/>
      <color indexed="17"/>
      <name val="Arial"/>
      <family val="2"/>
    </font>
    <font>
      <b/>
      <sz val="8"/>
      <color indexed="8"/>
      <name val="Arial"/>
      <family val="2"/>
    </font>
    <font>
      <sz val="10"/>
      <name val="Arial"/>
      <family val="2"/>
    </font>
    <font>
      <sz val="10"/>
      <color indexed="8"/>
      <name val="Times New Roman"/>
      <family val="1"/>
    </font>
    <font>
      <u/>
      <sz val="10"/>
      <color indexed="12"/>
      <name val="Arial"/>
      <family val="2"/>
    </font>
    <font>
      <b/>
      <sz val="10"/>
      <name val="Arial"/>
      <family val="2"/>
    </font>
    <font>
      <b/>
      <u/>
      <sz val="8"/>
      <color indexed="12"/>
      <name val="Arial"/>
      <family val="2"/>
    </font>
    <font>
      <b/>
      <sz val="8"/>
      <color indexed="12"/>
      <name val="Arial"/>
      <family val="2"/>
    </font>
    <font>
      <u/>
      <sz val="8"/>
      <color indexed="12"/>
      <name val="Arial"/>
      <family val="2"/>
    </font>
    <font>
      <b/>
      <sz val="8"/>
      <color indexed="9"/>
      <name val="Arial"/>
      <family val="2"/>
    </font>
    <font>
      <b/>
      <u/>
      <sz val="8"/>
      <name val="Arial"/>
      <family val="2"/>
    </font>
    <font>
      <b/>
      <i/>
      <sz val="8"/>
      <color indexed="10"/>
      <name val="Arial"/>
      <family val="2"/>
    </font>
    <font>
      <b/>
      <sz val="9"/>
      <color indexed="9"/>
      <name val="Arial"/>
      <family val="2"/>
    </font>
    <font>
      <b/>
      <sz val="9"/>
      <name val="Arial"/>
      <family val="2"/>
    </font>
    <font>
      <b/>
      <i/>
      <sz val="8"/>
      <name val="Arial"/>
      <family val="2"/>
    </font>
    <font>
      <b/>
      <u/>
      <sz val="10"/>
      <name val="Arial"/>
      <family val="2"/>
    </font>
    <font>
      <b/>
      <sz val="11"/>
      <color indexed="9"/>
      <name val="Calibri"/>
      <family val="2"/>
    </font>
    <font>
      <b/>
      <u/>
      <sz val="11"/>
      <color indexed="9"/>
      <name val="Calibri"/>
      <family val="2"/>
    </font>
    <font>
      <sz val="8"/>
      <color indexed="12"/>
      <name val="Arial"/>
      <family val="2"/>
    </font>
    <font>
      <i/>
      <sz val="8"/>
      <name val="Arial"/>
      <family val="2"/>
    </font>
    <font>
      <b/>
      <u/>
      <sz val="9"/>
      <color indexed="9"/>
      <name val="Arial"/>
      <family val="2"/>
    </font>
    <font>
      <sz val="9"/>
      <color indexed="9"/>
      <name val="Arial"/>
      <family val="2"/>
    </font>
    <font>
      <b/>
      <u/>
      <sz val="8"/>
      <color indexed="10"/>
      <name val="Arial"/>
      <family val="2"/>
    </font>
    <font>
      <sz val="9"/>
      <color indexed="81"/>
      <name val="Tahoma"/>
      <family val="2"/>
    </font>
    <font>
      <b/>
      <sz val="9"/>
      <color indexed="81"/>
      <name val="Tahoma"/>
      <family val="2"/>
    </font>
    <font>
      <b/>
      <sz val="11"/>
      <color theme="0"/>
      <name val="Calibri"/>
      <family val="2"/>
      <scheme val="minor"/>
    </font>
    <font>
      <sz val="11"/>
      <color rgb="FFFF0000"/>
      <name val="Calibri"/>
      <family val="2"/>
      <scheme val="minor"/>
    </font>
    <font>
      <b/>
      <sz val="11"/>
      <color theme="1"/>
      <name val="Calibri"/>
      <family val="2"/>
      <scheme val="minor"/>
    </font>
    <font>
      <b/>
      <sz val="8"/>
      <color theme="1"/>
      <name val="Arial"/>
      <family val="2"/>
    </font>
    <font>
      <b/>
      <sz val="8"/>
      <color rgb="FFFF0000"/>
      <name val="Arial"/>
      <family val="2"/>
    </font>
    <font>
      <b/>
      <sz val="8"/>
      <color rgb="FF00B050"/>
      <name val="Arial"/>
      <family val="2"/>
    </font>
    <font>
      <b/>
      <sz val="11"/>
      <name val="Calibri"/>
      <family val="2"/>
      <scheme val="minor"/>
    </font>
    <font>
      <sz val="11"/>
      <name val="Calibri"/>
      <family val="2"/>
      <scheme val="minor"/>
    </font>
    <font>
      <b/>
      <sz val="11"/>
      <color rgb="FFFF0000"/>
      <name val="Calibri"/>
      <family val="2"/>
      <scheme val="minor"/>
    </font>
    <font>
      <b/>
      <sz val="8"/>
      <color rgb="FF0070C0"/>
      <name val="Arial"/>
      <family val="2"/>
    </font>
    <font>
      <b/>
      <sz val="8"/>
      <color theme="4" tint="-0.249977111117893"/>
      <name val="Arial"/>
      <family val="2"/>
    </font>
    <font>
      <b/>
      <sz val="8"/>
      <color rgb="FFFFC000"/>
      <name val="Arial"/>
      <family val="2"/>
    </font>
    <font>
      <b/>
      <sz val="8"/>
      <color rgb="FFC00000"/>
      <name val="Arial"/>
      <family val="2"/>
    </font>
    <font>
      <sz val="11"/>
      <color rgb="FF00B050"/>
      <name val="Calibri"/>
      <family val="2"/>
      <scheme val="minor"/>
    </font>
    <font>
      <sz val="10"/>
      <color rgb="FF000000"/>
      <name val="Calibri"/>
      <family val="2"/>
      <scheme val="minor"/>
    </font>
    <font>
      <sz val="10"/>
      <color rgb="FFFF0000"/>
      <name val="Calibri"/>
      <family val="2"/>
      <scheme val="minor"/>
    </font>
    <font>
      <sz val="11"/>
      <color rgb="FF000000"/>
      <name val="Calibri"/>
      <family val="2"/>
      <scheme val="minor"/>
    </font>
    <font>
      <b/>
      <sz val="10"/>
      <color rgb="FF000000"/>
      <name val="Calibri"/>
      <family val="2"/>
      <scheme val="minor"/>
    </font>
    <font>
      <b/>
      <sz val="11"/>
      <color rgb="FF000000"/>
      <name val="Calibri"/>
      <family val="2"/>
      <scheme val="minor"/>
    </font>
    <font>
      <b/>
      <sz val="11"/>
      <color rgb="FFFFFFFF"/>
      <name val="Calibri"/>
      <family val="2"/>
      <scheme val="minor"/>
    </font>
    <font>
      <b/>
      <sz val="10"/>
      <color rgb="FF0070C0"/>
      <name val="Calibri"/>
      <family val="2"/>
      <scheme val="minor"/>
    </font>
    <font>
      <b/>
      <sz val="11"/>
      <color rgb="FF0070C0"/>
      <name val="Calibri"/>
      <family val="2"/>
      <scheme val="minor"/>
    </font>
    <font>
      <b/>
      <sz val="8"/>
      <color theme="5" tint="-0.499984740745262"/>
      <name val="Arial"/>
      <family val="2"/>
    </font>
    <font>
      <b/>
      <sz val="11"/>
      <color theme="5" tint="-0.499984740745262"/>
      <name val="Calibri"/>
      <family val="2"/>
      <scheme val="minor"/>
    </font>
    <font>
      <sz val="8"/>
      <color rgb="FF000000"/>
      <name val="Arial"/>
      <family val="2"/>
    </font>
    <font>
      <b/>
      <sz val="8"/>
      <color rgb="FF000000"/>
      <name val="Arial"/>
      <family val="2"/>
    </font>
    <font>
      <b/>
      <sz val="9"/>
      <name val="Calibri"/>
      <family val="2"/>
      <scheme val="minor"/>
    </font>
    <font>
      <b/>
      <sz val="9"/>
      <color rgb="FFFF0000"/>
      <name val="Arial"/>
      <family val="2"/>
    </font>
    <font>
      <b/>
      <sz val="10"/>
      <color theme="0"/>
      <name val="Arial"/>
      <family val="2"/>
    </font>
    <font>
      <u/>
      <sz val="8"/>
      <color rgb="FFFF0000"/>
      <name val="Arial"/>
      <family val="2"/>
    </font>
    <font>
      <sz val="8"/>
      <color theme="1"/>
      <name val="Arial"/>
      <family val="2"/>
    </font>
    <font>
      <b/>
      <sz val="8"/>
      <color theme="9" tint="-0.499984740745262"/>
      <name val="Arial"/>
      <family val="2"/>
    </font>
    <font>
      <b/>
      <sz val="11"/>
      <color theme="9" tint="-0.499984740745262"/>
      <name val="Calibri"/>
      <family val="2"/>
      <scheme val="minor"/>
    </font>
    <font>
      <b/>
      <sz val="10"/>
      <color theme="9" tint="-0.499984740745262"/>
      <name val="Calibri"/>
      <family val="2"/>
      <scheme val="minor"/>
    </font>
    <font>
      <b/>
      <sz val="10"/>
      <color rgb="FFC00000"/>
      <name val="Calibri"/>
      <family val="2"/>
      <scheme val="minor"/>
    </font>
    <font>
      <sz val="11"/>
      <color rgb="FF1F497D"/>
      <name val="Calibri"/>
      <family val="2"/>
      <charset val="1"/>
      <scheme val="minor"/>
    </font>
    <font>
      <u/>
      <sz val="11"/>
      <color theme="10"/>
      <name val="Calibri"/>
      <family val="2"/>
      <scheme val="minor"/>
    </font>
    <font>
      <b/>
      <sz val="8"/>
      <name val="Aptos Narrow"/>
      <family val="2"/>
    </font>
    <font>
      <b/>
      <u val="double"/>
      <sz val="8"/>
      <color rgb="FFFF0000"/>
      <name val="Arial"/>
      <family val="2"/>
    </font>
    <font>
      <b/>
      <u/>
      <sz val="8"/>
      <color rgb="FFFF0000"/>
      <name val="Arial"/>
      <family val="2"/>
    </font>
    <font>
      <sz val="8"/>
      <color rgb="FFFF0000"/>
      <name val="Arial"/>
      <family val="2"/>
    </font>
    <font>
      <b/>
      <u/>
      <sz val="8"/>
      <color rgb="FF000000"/>
      <name val="Arial"/>
      <family val="2"/>
    </font>
    <font>
      <b/>
      <sz val="12"/>
      <color rgb="FFFF0000"/>
      <name val="Arial"/>
      <family val="2"/>
    </font>
    <font>
      <b/>
      <sz val="11"/>
      <color rgb="FF000000"/>
      <name val="Calibri"/>
      <family val="2"/>
      <charset val="1"/>
    </font>
    <font>
      <sz val="11"/>
      <color rgb="FF000000"/>
      <name val="Calibri"/>
      <family val="2"/>
      <charset val="1"/>
    </font>
    <font>
      <b/>
      <sz val="11"/>
      <color rgb="FF000000"/>
      <name val="Calibri"/>
      <family val="2"/>
    </font>
    <font>
      <b/>
      <sz val="9"/>
      <color rgb="FFFFFFFF"/>
      <name val="Arial"/>
      <family val="2"/>
    </font>
    <font>
      <b/>
      <u/>
      <sz val="9"/>
      <color rgb="FFFFFFFF"/>
      <name val="Arial"/>
      <family val="2"/>
    </font>
    <font>
      <sz val="9"/>
      <color rgb="FFFFFFFF"/>
      <name val="Arial"/>
      <family val="2"/>
    </font>
    <font>
      <b/>
      <sz val="9"/>
      <color theme="1"/>
      <name val="Calibri"/>
      <family val="2"/>
      <scheme val="minor"/>
    </font>
    <font>
      <b/>
      <i/>
      <sz val="8"/>
      <color rgb="FF000000"/>
      <name val="Arial"/>
      <family val="2"/>
    </font>
  </fonts>
  <fills count="31">
    <fill>
      <patternFill patternType="none"/>
    </fill>
    <fill>
      <patternFill patternType="gray125"/>
    </fill>
    <fill>
      <patternFill patternType="solid">
        <fgColor indexed="18"/>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F79646"/>
        <bgColor rgb="FFF79646"/>
      </patternFill>
    </fill>
    <fill>
      <patternFill patternType="solid">
        <fgColor rgb="FF0070C0"/>
        <bgColor rgb="FFF79646"/>
      </patternFill>
    </fill>
    <fill>
      <patternFill patternType="solid">
        <fgColor theme="5" tint="0.79998168889431442"/>
        <bgColor indexed="64"/>
      </patternFill>
    </fill>
    <fill>
      <patternFill patternType="solid">
        <fgColor theme="5" tint="-0.499984740745262"/>
        <bgColor indexed="64"/>
      </patternFill>
    </fill>
    <fill>
      <patternFill patternType="solid">
        <fgColor rgb="FF000099"/>
        <bgColor indexed="64"/>
      </patternFill>
    </fill>
    <fill>
      <patternFill patternType="solid">
        <fgColor theme="1"/>
        <bgColor indexed="64"/>
      </patternFill>
    </fill>
    <fill>
      <patternFill patternType="solid">
        <fgColor rgb="FFC00000"/>
        <bgColor indexed="64"/>
      </patternFill>
    </fill>
    <fill>
      <patternFill patternType="solid">
        <fgColor rgb="FF00B0F0"/>
        <bgColor indexed="64"/>
      </patternFill>
    </fill>
    <fill>
      <patternFill patternType="solid">
        <fgColor rgb="FF0070C0"/>
        <bgColor indexed="64"/>
      </patternFill>
    </fill>
    <fill>
      <patternFill patternType="solid">
        <fgColor rgb="FFFFFFCC"/>
        <bgColor indexed="64"/>
      </patternFill>
    </fill>
    <fill>
      <patternFill patternType="solid">
        <fgColor theme="6" tint="0.59999389629810485"/>
        <bgColor indexed="64"/>
      </patternFill>
    </fill>
    <fill>
      <patternFill patternType="solid">
        <fgColor theme="0"/>
        <bgColor rgb="FFF79646"/>
      </patternFill>
    </fill>
    <fill>
      <patternFill patternType="solid">
        <fgColor theme="9" tint="-0.49998474074526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DFDFD"/>
        <bgColor indexed="64"/>
      </patternFill>
    </fill>
    <fill>
      <patternFill patternType="solid">
        <fgColor rgb="FF92D05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FABF8F"/>
      </left>
      <right/>
      <top style="thin">
        <color rgb="FFFABF8F"/>
      </top>
      <bottom style="thin">
        <color rgb="FFFABF8F"/>
      </bottom>
      <diagonal/>
    </border>
    <border>
      <left/>
      <right/>
      <top style="thin">
        <color rgb="FFFABF8F"/>
      </top>
      <bottom style="thin">
        <color rgb="FFFABF8F"/>
      </bottom>
      <diagonal/>
    </border>
    <border>
      <left/>
      <right/>
      <top style="thin">
        <color rgb="FFFABF8F"/>
      </top>
      <bottom/>
      <diagonal/>
    </border>
    <border>
      <left/>
      <right/>
      <top/>
      <bottom style="thin">
        <color rgb="FFFABF8F"/>
      </bottom>
      <diagonal/>
    </border>
    <border>
      <left/>
      <right/>
      <top style="thin">
        <color indexed="64"/>
      </top>
      <bottom style="thin">
        <color indexed="64"/>
      </bottom>
      <diagonal/>
    </border>
  </borders>
  <cellStyleXfs count="5">
    <xf numFmtId="0" fontId="0" fillId="0" borderId="0"/>
    <xf numFmtId="0" fontId="8" fillId="0" borderId="0" applyNumberFormat="0" applyFill="0" applyBorder="0" applyAlignment="0" applyProtection="0">
      <alignment vertical="top"/>
      <protection locked="0"/>
    </xf>
    <xf numFmtId="0" fontId="6" fillId="0" borderId="0"/>
    <xf numFmtId="0" fontId="7" fillId="0" borderId="0"/>
    <xf numFmtId="0" fontId="65" fillId="0" borderId="0" applyNumberFormat="0" applyFill="0" applyBorder="0" applyAlignment="0" applyProtection="0"/>
  </cellStyleXfs>
  <cellXfs count="466">
    <xf numFmtId="0" fontId="0" fillId="0" borderId="0" xfId="0"/>
    <xf numFmtId="0" fontId="2" fillId="0" borderId="0" xfId="0" applyFont="1" applyAlignment="1">
      <alignment horizontal="center" vertical="center"/>
    </xf>
    <xf numFmtId="0" fontId="31" fillId="0" borderId="0" xfId="0" applyFont="1"/>
    <xf numFmtId="0" fontId="31" fillId="0" borderId="1" xfId="0" applyFont="1" applyBorder="1"/>
    <xf numFmtId="0" fontId="31" fillId="3" borderId="0" xfId="0" applyFont="1" applyFill="1"/>
    <xf numFmtId="0" fontId="32" fillId="0" borderId="1" xfId="0" applyFont="1" applyBorder="1"/>
    <xf numFmtId="0" fontId="2" fillId="4" borderId="1" xfId="0" applyFont="1" applyFill="1" applyBorder="1" applyAlignment="1">
      <alignment horizontal="center" vertical="center"/>
    </xf>
    <xf numFmtId="0" fontId="2" fillId="0" borderId="0" xfId="0" applyFont="1" applyAlignment="1">
      <alignment vertical="center"/>
    </xf>
    <xf numFmtId="0" fontId="2" fillId="4" borderId="2" xfId="2" applyFont="1" applyFill="1" applyBorder="1" applyAlignment="1">
      <alignment vertical="center"/>
    </xf>
    <xf numFmtId="0" fontId="31" fillId="3" borderId="0" xfId="0" applyFont="1" applyFill="1" applyAlignment="1">
      <alignment horizontal="center"/>
    </xf>
    <xf numFmtId="0" fontId="31" fillId="0" borderId="0" xfId="0" applyFont="1" applyAlignment="1">
      <alignment horizontal="center"/>
    </xf>
    <xf numFmtId="0" fontId="2" fillId="4" borderId="2" xfId="0" applyFont="1" applyFill="1" applyBorder="1" applyAlignment="1">
      <alignment horizontal="center" vertical="center"/>
    </xf>
    <xf numFmtId="0" fontId="2" fillId="4" borderId="2" xfId="0" applyFont="1" applyFill="1" applyBorder="1" applyAlignment="1">
      <alignment vertical="center"/>
    </xf>
    <xf numFmtId="0" fontId="2" fillId="4" borderId="1" xfId="0" applyFont="1" applyFill="1" applyBorder="1" applyAlignment="1">
      <alignment vertical="center"/>
    </xf>
    <xf numFmtId="0" fontId="2" fillId="4" borderId="3" xfId="0" applyFont="1" applyFill="1" applyBorder="1" applyAlignment="1">
      <alignment horizontal="center" vertical="center"/>
    </xf>
    <xf numFmtId="0" fontId="2" fillId="4" borderId="3" xfId="0" applyFont="1" applyFill="1" applyBorder="1" applyAlignment="1">
      <alignment vertical="center"/>
    </xf>
    <xf numFmtId="0" fontId="2" fillId="4" borderId="1" xfId="2" applyFont="1" applyFill="1" applyBorder="1" applyAlignment="1">
      <alignment horizontal="center" vertical="center"/>
    </xf>
    <xf numFmtId="0" fontId="33" fillId="4" borderId="2" xfId="0" applyFont="1" applyFill="1" applyBorder="1" applyAlignment="1">
      <alignment vertical="center"/>
    </xf>
    <xf numFmtId="0" fontId="32" fillId="4" borderId="2" xfId="0" applyFont="1" applyFill="1" applyBorder="1" applyAlignment="1">
      <alignment vertical="center"/>
    </xf>
    <xf numFmtId="0" fontId="2" fillId="4" borderId="0" xfId="0" applyFont="1" applyFill="1" applyAlignment="1">
      <alignment vertical="center"/>
    </xf>
    <xf numFmtId="0" fontId="33" fillId="4" borderId="2" xfId="0" applyFont="1" applyFill="1" applyBorder="1" applyAlignment="1">
      <alignment vertical="center" wrapText="1"/>
    </xf>
    <xf numFmtId="0" fontId="2" fillId="4" borderId="3" xfId="2" applyFont="1" applyFill="1" applyBorder="1" applyAlignment="1">
      <alignment horizontal="center" vertical="center"/>
    </xf>
    <xf numFmtId="0" fontId="5" fillId="4" borderId="1" xfId="0" applyFont="1" applyFill="1" applyBorder="1" applyAlignment="1">
      <alignment horizontal="center" vertical="center"/>
    </xf>
    <xf numFmtId="0" fontId="11" fillId="4" borderId="1" xfId="1" applyFont="1" applyFill="1" applyBorder="1" applyAlignment="1" applyProtection="1">
      <alignment horizontal="center" vertical="center"/>
    </xf>
    <xf numFmtId="0" fontId="2" fillId="4" borderId="2" xfId="0" applyFont="1" applyFill="1" applyBorder="1" applyAlignment="1">
      <alignment vertical="center" wrapText="1"/>
    </xf>
    <xf numFmtId="0" fontId="2" fillId="4" borderId="4" xfId="0" applyFont="1" applyFill="1" applyBorder="1" applyAlignment="1">
      <alignment horizontal="center" vertical="center"/>
    </xf>
    <xf numFmtId="0" fontId="32" fillId="4" borderId="1" xfId="0" applyFont="1" applyFill="1" applyBorder="1" applyAlignment="1">
      <alignment horizontal="center" vertical="center"/>
    </xf>
    <xf numFmtId="0" fontId="33" fillId="4" borderId="1" xfId="0" applyFont="1" applyFill="1" applyBorder="1" applyAlignment="1">
      <alignment vertical="center"/>
    </xf>
    <xf numFmtId="0" fontId="35" fillId="4" borderId="1" xfId="0" applyFont="1" applyFill="1" applyBorder="1" applyAlignment="1">
      <alignment horizontal="center" vertical="center"/>
    </xf>
    <xf numFmtId="0" fontId="35" fillId="4" borderId="2" xfId="0" applyFont="1" applyFill="1" applyBorder="1" applyAlignment="1">
      <alignment vertical="center"/>
    </xf>
    <xf numFmtId="0" fontId="2" fillId="4" borderId="2" xfId="0" applyFont="1" applyFill="1" applyBorder="1" applyAlignment="1">
      <alignment horizontal="left" vertical="center"/>
    </xf>
    <xf numFmtId="0" fontId="32" fillId="4" borderId="5" xfId="0" applyFont="1" applyFill="1" applyBorder="1" applyAlignment="1">
      <alignment vertical="center"/>
    </xf>
    <xf numFmtId="0" fontId="2" fillId="4" borderId="6" xfId="0" applyFont="1" applyFill="1" applyBorder="1" applyAlignment="1">
      <alignment vertical="center"/>
    </xf>
    <xf numFmtId="0" fontId="2" fillId="4" borderId="5" xfId="0" applyFont="1" applyFill="1" applyBorder="1" applyAlignment="1">
      <alignment vertical="center"/>
    </xf>
    <xf numFmtId="0" fontId="2" fillId="0" borderId="6" xfId="0" applyFont="1" applyBorder="1" applyAlignment="1">
      <alignment vertical="center"/>
    </xf>
    <xf numFmtId="0" fontId="2" fillId="4" borderId="7" xfId="0" applyFont="1" applyFill="1" applyBorder="1" applyAlignment="1">
      <alignment vertical="center"/>
    </xf>
    <xf numFmtId="0" fontId="2" fillId="5" borderId="1" xfId="0" applyFont="1" applyFill="1" applyBorder="1" applyAlignment="1">
      <alignment horizontal="center" vertical="center"/>
    </xf>
    <xf numFmtId="0" fontId="31" fillId="5" borderId="0" xfId="0" applyFont="1" applyFill="1" applyAlignment="1">
      <alignment horizontal="center"/>
    </xf>
    <xf numFmtId="0" fontId="2" fillId="4" borderId="8" xfId="0" applyFont="1" applyFill="1" applyBorder="1" applyAlignment="1">
      <alignment horizontal="center" vertical="center"/>
    </xf>
    <xf numFmtId="0" fontId="2" fillId="4" borderId="2" xfId="2" applyFont="1" applyFill="1" applyBorder="1" applyAlignment="1">
      <alignment horizontal="center" vertical="center"/>
    </xf>
    <xf numFmtId="0" fontId="2" fillId="4" borderId="1" xfId="2" applyFont="1" applyFill="1" applyBorder="1" applyAlignment="1">
      <alignment vertical="center"/>
    </xf>
    <xf numFmtId="0" fontId="2" fillId="6" borderId="5" xfId="0" applyFont="1" applyFill="1" applyBorder="1" applyAlignment="1">
      <alignment vertical="center"/>
    </xf>
    <xf numFmtId="0" fontId="2" fillId="6" borderId="3"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applyAlignment="1">
      <alignment vertical="center"/>
    </xf>
    <xf numFmtId="49" fontId="8" fillId="6" borderId="1" xfId="1" applyNumberFormat="1" applyFill="1" applyBorder="1" applyAlignment="1" applyProtection="1">
      <alignment horizontal="center" vertical="center"/>
    </xf>
    <xf numFmtId="0" fontId="8" fillId="6" borderId="3" xfId="1" applyFill="1" applyBorder="1" applyAlignment="1" applyProtection="1">
      <alignment horizontal="center" vertical="center"/>
    </xf>
    <xf numFmtId="0" fontId="2" fillId="6" borderId="4" xfId="0" applyFont="1" applyFill="1" applyBorder="1" applyAlignment="1">
      <alignment horizontal="center" vertical="center"/>
    </xf>
    <xf numFmtId="0" fontId="2" fillId="6" borderId="2" xfId="0" applyFont="1" applyFill="1" applyBorder="1" applyAlignment="1">
      <alignment horizontal="center" vertical="center"/>
    </xf>
    <xf numFmtId="0" fontId="32" fillId="6" borderId="2" xfId="0" applyFont="1" applyFill="1" applyBorder="1" applyAlignment="1">
      <alignment vertical="center"/>
    </xf>
    <xf numFmtId="0" fontId="2" fillId="6" borderId="6" xfId="0" applyFont="1" applyFill="1" applyBorder="1" applyAlignment="1">
      <alignment vertical="center"/>
    </xf>
    <xf numFmtId="0" fontId="2" fillId="6" borderId="0" xfId="0" applyFont="1" applyFill="1" applyAlignment="1">
      <alignment vertical="center"/>
    </xf>
    <xf numFmtId="0" fontId="2" fillId="5" borderId="8" xfId="0" applyFont="1" applyFill="1" applyBorder="1" applyAlignment="1">
      <alignment horizontal="center" vertical="center"/>
    </xf>
    <xf numFmtId="0" fontId="2" fillId="4" borderId="0" xfId="0" applyFont="1" applyFill="1" applyAlignment="1">
      <alignment horizontal="center" vertical="center"/>
    </xf>
    <xf numFmtId="0" fontId="2" fillId="0" borderId="1" xfId="0" applyFont="1" applyBorder="1" applyAlignment="1">
      <alignment horizontal="center" vertical="center"/>
    </xf>
    <xf numFmtId="0" fontId="2" fillId="5" borderId="9" xfId="0" applyFont="1" applyFill="1" applyBorder="1" applyAlignment="1">
      <alignment horizontal="center" vertical="center"/>
    </xf>
    <xf numFmtId="0" fontId="1" fillId="7"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0" fillId="0" borderId="1" xfId="0" applyBorder="1"/>
    <xf numFmtId="0" fontId="32" fillId="5" borderId="1" xfId="0" applyFont="1" applyFill="1" applyBorder="1" applyAlignment="1">
      <alignment horizontal="center" vertical="center"/>
    </xf>
    <xf numFmtId="0" fontId="2" fillId="7" borderId="0" xfId="0" applyFont="1" applyFill="1" applyAlignment="1">
      <alignment vertical="center"/>
    </xf>
    <xf numFmtId="0" fontId="31" fillId="5" borderId="1" xfId="0" applyFont="1" applyFill="1" applyBorder="1" applyAlignment="1">
      <alignment horizontal="center"/>
    </xf>
    <xf numFmtId="0" fontId="2" fillId="4" borderId="1" xfId="0" applyFont="1" applyFill="1" applyBorder="1" applyAlignment="1">
      <alignment horizontal="left" vertical="center"/>
    </xf>
    <xf numFmtId="0" fontId="32" fillId="0" borderId="0" xfId="0" applyFont="1"/>
    <xf numFmtId="0" fontId="35" fillId="0" borderId="0" xfId="0" applyFont="1"/>
    <xf numFmtId="0" fontId="35" fillId="0" borderId="0" xfId="0" applyFont="1" applyAlignment="1">
      <alignment horizontal="center"/>
    </xf>
    <xf numFmtId="0" fontId="36" fillId="0" borderId="0" xfId="0" applyFont="1"/>
    <xf numFmtId="0" fontId="2" fillId="0" borderId="0" xfId="0" applyFont="1"/>
    <xf numFmtId="0" fontId="2" fillId="5" borderId="0" xfId="0" applyFont="1" applyFill="1" applyAlignment="1">
      <alignment vertical="center"/>
    </xf>
    <xf numFmtId="0" fontId="2" fillId="8" borderId="0" xfId="0" applyFont="1" applyFill="1" applyAlignment="1">
      <alignment vertical="center"/>
    </xf>
    <xf numFmtId="0" fontId="2" fillId="0" borderId="1" xfId="0" applyFont="1" applyBorder="1" applyAlignment="1">
      <alignment vertical="center"/>
    </xf>
    <xf numFmtId="0" fontId="32" fillId="4" borderId="1" xfId="0" applyFont="1" applyFill="1" applyBorder="1" applyAlignment="1">
      <alignment vertical="center"/>
    </xf>
    <xf numFmtId="0" fontId="2" fillId="4" borderId="3" xfId="1" applyFont="1" applyFill="1" applyBorder="1" applyAlignment="1" applyProtection="1">
      <alignment horizontal="center" vertical="center"/>
    </xf>
    <xf numFmtId="0" fontId="33" fillId="4" borderId="3" xfId="0" applyFont="1" applyFill="1" applyBorder="1" applyAlignment="1">
      <alignment horizontal="center" vertical="center"/>
    </xf>
    <xf numFmtId="0" fontId="33" fillId="4" borderId="1" xfId="0" applyFont="1" applyFill="1" applyBorder="1" applyAlignment="1">
      <alignment horizontal="center" vertical="center"/>
    </xf>
    <xf numFmtId="0" fontId="33" fillId="4" borderId="3" xfId="0" applyFont="1" applyFill="1" applyBorder="1" applyAlignment="1">
      <alignment vertical="center"/>
    </xf>
    <xf numFmtId="0" fontId="33" fillId="5" borderId="1" xfId="0" applyFont="1" applyFill="1" applyBorder="1" applyAlignment="1">
      <alignment horizontal="center" vertical="center"/>
    </xf>
    <xf numFmtId="0" fontId="33" fillId="4" borderId="2" xfId="0" applyFont="1" applyFill="1" applyBorder="1" applyAlignment="1">
      <alignment horizontal="center" vertical="center"/>
    </xf>
    <xf numFmtId="0" fontId="37" fillId="0" borderId="0" xfId="0" applyFont="1"/>
    <xf numFmtId="0" fontId="2" fillId="4" borderId="0" xfId="2" applyFont="1" applyFill="1" applyAlignment="1">
      <alignment vertical="center"/>
    </xf>
    <xf numFmtId="0" fontId="32" fillId="0" borderId="0" xfId="0" applyFont="1" applyAlignment="1">
      <alignment vertical="center"/>
    </xf>
    <xf numFmtId="0" fontId="2" fillId="0" borderId="0" xfId="0" applyFont="1" applyAlignment="1">
      <alignment horizontal="left" vertical="center"/>
    </xf>
    <xf numFmtId="0" fontId="2" fillId="4" borderId="0" xfId="0" applyFont="1" applyFill="1" applyAlignment="1">
      <alignment horizontal="left" vertical="center"/>
    </xf>
    <xf numFmtId="0" fontId="33" fillId="4" borderId="0" xfId="2" applyFont="1" applyFill="1" applyAlignment="1">
      <alignment vertical="center"/>
    </xf>
    <xf numFmtId="0" fontId="40" fillId="0" borderId="0" xfId="0" applyFont="1" applyAlignment="1">
      <alignment vertical="center"/>
    </xf>
    <xf numFmtId="0" fontId="2" fillId="7" borderId="1" xfId="0" applyFont="1" applyFill="1" applyBorder="1" applyAlignment="1">
      <alignment horizontal="center" vertical="center"/>
    </xf>
    <xf numFmtId="0" fontId="2" fillId="8" borderId="1" xfId="0" applyFont="1" applyFill="1" applyBorder="1" applyAlignment="1">
      <alignment vertical="center"/>
    </xf>
    <xf numFmtId="0" fontId="2" fillId="5" borderId="1" xfId="0" applyFont="1" applyFill="1" applyBorder="1" applyAlignment="1">
      <alignment vertical="center"/>
    </xf>
    <xf numFmtId="0" fontId="2" fillId="9" borderId="1" xfId="0" applyFont="1" applyFill="1" applyBorder="1" applyAlignment="1">
      <alignment vertical="center"/>
    </xf>
    <xf numFmtId="0" fontId="2" fillId="10" borderId="1" xfId="0" applyFont="1" applyFill="1" applyBorder="1" applyAlignment="1">
      <alignment vertical="center"/>
    </xf>
    <xf numFmtId="0" fontId="2" fillId="11" borderId="1" xfId="0" applyFont="1" applyFill="1" applyBorder="1" applyAlignment="1">
      <alignment vertical="center"/>
    </xf>
    <xf numFmtId="0" fontId="2" fillId="12" borderId="1" xfId="0" applyFont="1" applyFill="1" applyBorder="1" applyAlignment="1">
      <alignment vertical="center"/>
    </xf>
    <xf numFmtId="0" fontId="2" fillId="13" borderId="1" xfId="0" applyFont="1" applyFill="1" applyBorder="1" applyAlignment="1">
      <alignment vertical="center"/>
    </xf>
    <xf numFmtId="0" fontId="41" fillId="12" borderId="1" xfId="0" applyFont="1" applyFill="1" applyBorder="1" applyAlignment="1">
      <alignment vertical="center"/>
    </xf>
    <xf numFmtId="0" fontId="33" fillId="4" borderId="6" xfId="0" applyFont="1" applyFill="1" applyBorder="1" applyAlignment="1">
      <alignment vertical="center"/>
    </xf>
    <xf numFmtId="0" fontId="0" fillId="0" borderId="0" xfId="0" applyAlignment="1">
      <alignment horizontal="center" vertical="center" wrapText="1"/>
    </xf>
    <xf numFmtId="0" fontId="31" fillId="0" borderId="0" xfId="0" applyFont="1" applyAlignment="1">
      <alignment horizontal="center" vertical="center" wrapText="1"/>
    </xf>
    <xf numFmtId="164" fontId="0" fillId="0" borderId="0" xfId="0" applyNumberFormat="1"/>
    <xf numFmtId="0" fontId="0" fillId="0" borderId="0" xfId="0" quotePrefix="1"/>
    <xf numFmtId="0" fontId="0" fillId="0" borderId="0" xfId="0" pivotButton="1"/>
    <xf numFmtId="0" fontId="0" fillId="0" borderId="0" xfId="0" applyAlignment="1">
      <alignment vertical="center" wrapText="1"/>
    </xf>
    <xf numFmtId="0" fontId="31" fillId="0" borderId="0" xfId="0" pivotButton="1" applyFont="1" applyAlignment="1">
      <alignment horizontal="center" vertical="center" wrapText="1"/>
    </xf>
    <xf numFmtId="0" fontId="30" fillId="0" borderId="0" xfId="0" applyFont="1"/>
    <xf numFmtId="0" fontId="0" fillId="5" borderId="0" xfId="0" applyFill="1"/>
    <xf numFmtId="0" fontId="42"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vertical="center" wrapText="1"/>
    </xf>
    <xf numFmtId="0" fontId="42" fillId="0" borderId="0" xfId="0" applyFont="1"/>
    <xf numFmtId="0" fontId="44" fillId="0" borderId="0" xfId="0" applyFont="1" applyAlignment="1">
      <alignment horizontal="center" vertical="center" wrapText="1"/>
    </xf>
    <xf numFmtId="0" fontId="45" fillId="0" borderId="0" xfId="0" applyFont="1"/>
    <xf numFmtId="0" fontId="44" fillId="0" borderId="0" xfId="0" applyFont="1" applyAlignment="1">
      <alignment vertical="top" wrapText="1"/>
    </xf>
    <xf numFmtId="0" fontId="30" fillId="0" borderId="0" xfId="0" applyFont="1" applyAlignment="1">
      <alignment vertical="center"/>
    </xf>
    <xf numFmtId="0" fontId="30" fillId="0" borderId="0" xfId="0" applyFont="1" applyAlignment="1">
      <alignment wrapText="1"/>
    </xf>
    <xf numFmtId="16" fontId="30" fillId="0" borderId="0" xfId="0" applyNumberFormat="1" applyFont="1"/>
    <xf numFmtId="0" fontId="30" fillId="0" borderId="0" xfId="0" applyFont="1" applyAlignment="1">
      <alignment vertical="center" wrapText="1"/>
    </xf>
    <xf numFmtId="0" fontId="46" fillId="0" borderId="0" xfId="0" applyFont="1" applyAlignment="1">
      <alignment vertical="center" wrapText="1"/>
    </xf>
    <xf numFmtId="0" fontId="48" fillId="14" borderId="29" xfId="0" applyFont="1" applyFill="1" applyBorder="1" applyAlignment="1">
      <alignment horizontal="center" vertical="center" wrapText="1"/>
    </xf>
    <xf numFmtId="0" fontId="48" fillId="14" borderId="30" xfId="0" applyFont="1" applyFill="1" applyBorder="1" applyAlignment="1">
      <alignment horizontal="center" vertical="center" wrapText="1"/>
    </xf>
    <xf numFmtId="0" fontId="46" fillId="0" borderId="0" xfId="0" applyFont="1" applyAlignment="1">
      <alignment horizontal="center" vertical="center" wrapText="1"/>
    </xf>
    <xf numFmtId="0" fontId="50" fillId="0" borderId="0" xfId="0" applyFont="1"/>
    <xf numFmtId="0" fontId="29" fillId="15" borderId="30" xfId="0" applyFont="1" applyFill="1" applyBorder="1" applyAlignment="1">
      <alignment horizontal="center" vertical="center" wrapText="1"/>
    </xf>
    <xf numFmtId="0" fontId="49" fillId="5" borderId="0" xfId="0" applyFont="1" applyFill="1" applyAlignment="1">
      <alignment vertical="center" wrapText="1"/>
    </xf>
    <xf numFmtId="0" fontId="50" fillId="0" borderId="0" xfId="0" applyFont="1" applyAlignment="1">
      <alignment horizontal="center"/>
    </xf>
    <xf numFmtId="0" fontId="49" fillId="5" borderId="0" xfId="0" applyFont="1" applyFill="1" applyAlignment="1">
      <alignment horizontal="center" vertical="center" wrapText="1"/>
    </xf>
    <xf numFmtId="0" fontId="46" fillId="5" borderId="0" xfId="0" applyFont="1" applyFill="1" applyAlignment="1">
      <alignment vertical="center" wrapText="1"/>
    </xf>
    <xf numFmtId="0" fontId="9" fillId="5" borderId="10" xfId="0" applyFont="1" applyFill="1" applyBorder="1" applyAlignment="1">
      <alignment horizontal="center" vertical="center" wrapText="1"/>
    </xf>
    <xf numFmtId="0" fontId="51" fillId="4" borderId="0" xfId="0" applyFont="1" applyFill="1" applyAlignment="1">
      <alignment vertical="center"/>
    </xf>
    <xf numFmtId="0" fontId="51" fillId="0" borderId="0" xfId="0" applyFont="1" applyAlignment="1">
      <alignment vertical="center"/>
    </xf>
    <xf numFmtId="0" fontId="52" fillId="0" borderId="0" xfId="0" applyFont="1"/>
    <xf numFmtId="0" fontId="51" fillId="7" borderId="0" xfId="0" applyFont="1" applyFill="1" applyAlignment="1">
      <alignment vertical="center"/>
    </xf>
    <xf numFmtId="0" fontId="47" fillId="5" borderId="0" xfId="0" applyFont="1" applyFill="1" applyAlignment="1">
      <alignment vertical="center"/>
    </xf>
    <xf numFmtId="0" fontId="51" fillId="16" borderId="0" xfId="0" applyFont="1" applyFill="1" applyAlignment="1">
      <alignment vertical="center"/>
    </xf>
    <xf numFmtId="0" fontId="31" fillId="0" borderId="0" xfId="0" applyFont="1" applyAlignment="1">
      <alignment horizontal="left"/>
    </xf>
    <xf numFmtId="0" fontId="35" fillId="0" borderId="0" xfId="0" applyFont="1" applyAlignment="1">
      <alignment horizontal="left"/>
    </xf>
    <xf numFmtId="0" fontId="37" fillId="0" borderId="0" xfId="0" applyFont="1" applyAlignment="1">
      <alignment horizontal="left"/>
    </xf>
    <xf numFmtId="0" fontId="2" fillId="7" borderId="0" xfId="0" applyFont="1" applyFill="1" applyAlignment="1">
      <alignment horizontal="left" vertical="center"/>
    </xf>
    <xf numFmtId="0" fontId="52" fillId="0" borderId="0" xfId="0" applyFont="1" applyAlignment="1">
      <alignment horizontal="center"/>
    </xf>
    <xf numFmtId="0" fontId="29" fillId="17" borderId="0" xfId="0" applyFont="1" applyFill="1" applyAlignment="1">
      <alignment horizontal="center" vertical="center" wrapText="1"/>
    </xf>
    <xf numFmtId="0" fontId="42" fillId="0" borderId="13" xfId="0" applyFont="1" applyBorder="1" applyAlignment="1">
      <alignment wrapText="1"/>
    </xf>
    <xf numFmtId="0" fontId="30" fillId="0" borderId="13" xfId="0" applyFont="1" applyBorder="1"/>
    <xf numFmtId="0" fontId="42" fillId="0" borderId="14" xfId="0" applyFont="1" applyBorder="1" applyAlignment="1">
      <alignment wrapText="1"/>
    </xf>
    <xf numFmtId="0" fontId="30" fillId="0" borderId="14" xfId="0" applyFont="1" applyBorder="1"/>
    <xf numFmtId="0" fontId="32" fillId="4" borderId="0" xfId="0" applyFont="1" applyFill="1" applyAlignment="1">
      <alignment vertical="center"/>
    </xf>
    <xf numFmtId="0" fontId="12" fillId="5" borderId="9" xfId="1" applyFont="1" applyFill="1" applyBorder="1" applyAlignment="1" applyProtection="1">
      <alignment horizontal="center" vertical="center"/>
    </xf>
    <xf numFmtId="0" fontId="32" fillId="0" borderId="1" xfId="0" applyFont="1" applyBorder="1" applyAlignment="1">
      <alignment vertical="center"/>
    </xf>
    <xf numFmtId="0" fontId="32" fillId="10" borderId="1" xfId="0" applyFont="1" applyFill="1" applyBorder="1" applyAlignment="1">
      <alignment vertical="center"/>
    </xf>
    <xf numFmtId="0" fontId="51" fillId="10" borderId="0" xfId="0" applyFont="1" applyFill="1" applyAlignment="1">
      <alignment vertical="center"/>
    </xf>
    <xf numFmtId="0" fontId="32" fillId="10" borderId="0" xfId="0" applyFont="1" applyFill="1" applyAlignment="1">
      <alignment horizontal="left" vertical="center"/>
    </xf>
    <xf numFmtId="0" fontId="32" fillId="10" borderId="0" xfId="0" applyFont="1" applyFill="1" applyAlignment="1">
      <alignment vertical="center"/>
    </xf>
    <xf numFmtId="0" fontId="22" fillId="4" borderId="1" xfId="1" applyFont="1" applyFill="1" applyBorder="1" applyAlignment="1" applyProtection="1">
      <alignment horizontal="left" vertical="center"/>
    </xf>
    <xf numFmtId="0" fontId="2" fillId="4" borderId="1" xfId="1" applyFont="1" applyFill="1" applyBorder="1" applyAlignment="1" applyProtection="1">
      <alignment horizontal="left" vertical="center"/>
    </xf>
    <xf numFmtId="0" fontId="2" fillId="4" borderId="3" xfId="1" applyFont="1" applyFill="1" applyBorder="1" applyAlignment="1" applyProtection="1">
      <alignment horizontal="left" vertical="center"/>
    </xf>
    <xf numFmtId="0" fontId="12" fillId="4" borderId="1" xfId="1" applyFont="1" applyFill="1" applyBorder="1" applyAlignment="1" applyProtection="1">
      <alignment horizontal="left" vertical="center"/>
    </xf>
    <xf numFmtId="0" fontId="55" fillId="0" borderId="0" xfId="0" applyFont="1" applyAlignment="1">
      <alignment horizontal="left"/>
    </xf>
    <xf numFmtId="0" fontId="56" fillId="4" borderId="1" xfId="0" applyFont="1" applyFill="1" applyBorder="1" applyAlignment="1">
      <alignment horizontal="left" vertical="center"/>
    </xf>
    <xf numFmtId="0" fontId="17" fillId="4" borderId="1" xfId="0" applyFont="1" applyFill="1" applyBorder="1" applyAlignment="1">
      <alignment horizontal="left" vertical="center"/>
    </xf>
    <xf numFmtId="0" fontId="1" fillId="2" borderId="15" xfId="0" applyFont="1" applyFill="1" applyBorder="1" applyAlignment="1">
      <alignment horizontal="center" vertical="center" wrapText="1"/>
    </xf>
    <xf numFmtId="0" fontId="57" fillId="18" borderId="16" xfId="0" applyFont="1" applyFill="1" applyBorder="1" applyAlignment="1">
      <alignment horizontal="center" vertical="center" wrapText="1"/>
    </xf>
    <xf numFmtId="0" fontId="1" fillId="18" borderId="16" xfId="0" applyFont="1" applyFill="1" applyBorder="1" applyAlignment="1">
      <alignment horizontal="center" vertical="center" wrapText="1"/>
    </xf>
    <xf numFmtId="0" fontId="16" fillId="18" borderId="16" xfId="0" applyFont="1" applyFill="1" applyBorder="1" applyAlignment="1">
      <alignment horizontal="center" vertical="center" wrapText="1"/>
    </xf>
    <xf numFmtId="0" fontId="1" fillId="18" borderId="17"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1" fillId="19" borderId="18"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6" borderId="18" xfId="0" applyFont="1" applyFill="1" applyBorder="1" applyAlignment="1">
      <alignment horizontal="center" vertical="center" wrapText="1"/>
    </xf>
    <xf numFmtId="0" fontId="1" fillId="20" borderId="18" xfId="0" applyFont="1" applyFill="1" applyBorder="1" applyAlignment="1">
      <alignment horizontal="center" vertical="center" wrapText="1"/>
    </xf>
    <xf numFmtId="0" fontId="1" fillId="21" borderId="18" xfId="0" applyFont="1" applyFill="1" applyBorder="1" applyAlignment="1">
      <alignment horizontal="center" vertical="center" wrapText="1"/>
    </xf>
    <xf numFmtId="0" fontId="1" fillId="21" borderId="19"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7" borderId="21" xfId="0" applyFont="1" applyFill="1" applyBorder="1" applyAlignment="1">
      <alignment horizontal="center" vertical="center" wrapText="1"/>
    </xf>
    <xf numFmtId="0" fontId="57" fillId="17" borderId="12"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37" fillId="0" borderId="0" xfId="0" applyFont="1" applyAlignment="1">
      <alignment horizontal="center"/>
    </xf>
    <xf numFmtId="0" fontId="1" fillId="18" borderId="18" xfId="0" applyFont="1" applyFill="1" applyBorder="1" applyAlignment="1">
      <alignment horizontal="center" vertical="center" wrapText="1"/>
    </xf>
    <xf numFmtId="0" fontId="11" fillId="4" borderId="9" xfId="1" applyFont="1" applyFill="1" applyBorder="1" applyAlignment="1" applyProtection="1">
      <alignment horizontal="center" vertical="center"/>
    </xf>
    <xf numFmtId="0" fontId="2" fillId="4" borderId="8" xfId="1" applyFont="1" applyFill="1" applyBorder="1" applyAlignment="1" applyProtection="1">
      <alignment horizontal="center" vertical="center"/>
    </xf>
    <xf numFmtId="0" fontId="2" fillId="4" borderId="9" xfId="0" applyFont="1" applyFill="1" applyBorder="1" applyAlignment="1">
      <alignment horizontal="center" vertical="center"/>
    </xf>
    <xf numFmtId="0" fontId="16" fillId="7" borderId="1" xfId="0" applyFont="1" applyFill="1" applyBorder="1" applyAlignment="1">
      <alignment horizontal="center" vertical="center" wrapText="1"/>
    </xf>
    <xf numFmtId="0" fontId="32" fillId="0" borderId="1" xfId="0" applyFont="1" applyBorder="1" applyAlignment="1">
      <alignment horizontal="center"/>
    </xf>
    <xf numFmtId="0" fontId="41" fillId="4" borderId="1" xfId="0" applyFont="1" applyFill="1" applyBorder="1" applyAlignment="1">
      <alignment horizontal="center" vertical="center"/>
    </xf>
    <xf numFmtId="0" fontId="41" fillId="4" borderId="1" xfId="0" applyFont="1" applyFill="1" applyBorder="1" applyAlignment="1">
      <alignment vertical="center"/>
    </xf>
    <xf numFmtId="0" fontId="41" fillId="4" borderId="0" xfId="0" applyFont="1" applyFill="1" applyAlignment="1">
      <alignment vertical="center"/>
    </xf>
    <xf numFmtId="0" fontId="1" fillId="7" borderId="12" xfId="0" applyFont="1" applyFill="1" applyBorder="1" applyAlignment="1">
      <alignment horizontal="center" vertical="center" wrapText="1"/>
    </xf>
    <xf numFmtId="0" fontId="34" fillId="4" borderId="1" xfId="0" applyFont="1" applyFill="1" applyBorder="1" applyAlignment="1">
      <alignment vertical="center"/>
    </xf>
    <xf numFmtId="0" fontId="33" fillId="4" borderId="22" xfId="2" applyFont="1" applyFill="1" applyBorder="1" applyAlignment="1">
      <alignment vertical="center"/>
    </xf>
    <xf numFmtId="0" fontId="33" fillId="4" borderId="22" xfId="0" applyFont="1" applyFill="1" applyBorder="1" applyAlignment="1">
      <alignment vertical="center"/>
    </xf>
    <xf numFmtId="0" fontId="33" fillId="4" borderId="8" xfId="0" applyFont="1" applyFill="1" applyBorder="1" applyAlignment="1">
      <alignment vertical="center"/>
    </xf>
    <xf numFmtId="0" fontId="2" fillId="4" borderId="9" xfId="0" applyFont="1" applyFill="1" applyBorder="1" applyAlignment="1">
      <alignment vertical="center"/>
    </xf>
    <xf numFmtId="0" fontId="2" fillId="4" borderId="8" xfId="0" applyFont="1" applyFill="1" applyBorder="1" applyAlignment="1">
      <alignment vertical="center"/>
    </xf>
    <xf numFmtId="0" fontId="37" fillId="0" borderId="1" xfId="0" applyFont="1" applyBorder="1" applyAlignment="1">
      <alignment horizontal="center"/>
    </xf>
    <xf numFmtId="0" fontId="35" fillId="0" borderId="1" xfId="0" applyFont="1" applyBorder="1" applyAlignment="1">
      <alignment horizontal="center"/>
    </xf>
    <xf numFmtId="0" fontId="17" fillId="4" borderId="12" xfId="0" applyFont="1" applyFill="1" applyBorder="1" applyAlignment="1">
      <alignment horizontal="left" vertical="center"/>
    </xf>
    <xf numFmtId="0" fontId="33" fillId="4" borderId="11" xfId="0" applyFont="1" applyFill="1" applyBorder="1" applyAlignment="1">
      <alignment horizontal="center" vertical="center"/>
    </xf>
    <xf numFmtId="0" fontId="55" fillId="0" borderId="1" xfId="0" applyFont="1" applyBorder="1" applyAlignment="1">
      <alignment horizontal="left"/>
    </xf>
    <xf numFmtId="0" fontId="36" fillId="0" borderId="1" xfId="0" applyFont="1" applyBorder="1"/>
    <xf numFmtId="0" fontId="33" fillId="4" borderId="1" xfId="2" applyFont="1" applyFill="1" applyBorder="1" applyAlignment="1">
      <alignment vertical="center"/>
    </xf>
    <xf numFmtId="0" fontId="40" fillId="0" borderId="1" xfId="0" applyFont="1" applyBorder="1" applyAlignment="1">
      <alignment vertical="center"/>
    </xf>
    <xf numFmtId="0" fontId="35" fillId="0" borderId="1" xfId="0" applyFont="1" applyBorder="1"/>
    <xf numFmtId="0" fontId="2" fillId="0" borderId="1" xfId="0" applyFont="1" applyBorder="1"/>
    <xf numFmtId="0" fontId="1" fillId="22" borderId="16" xfId="0" applyFont="1" applyFill="1" applyBorder="1" applyAlignment="1">
      <alignment horizontal="center" vertical="center" wrapText="1"/>
    </xf>
    <xf numFmtId="0" fontId="1" fillId="22" borderId="17" xfId="0" applyFont="1" applyFill="1" applyBorder="1" applyAlignment="1">
      <alignment horizontal="center" vertical="center" wrapText="1"/>
    </xf>
    <xf numFmtId="0" fontId="1" fillId="21" borderId="16" xfId="0" applyFont="1" applyFill="1" applyBorder="1" applyAlignment="1">
      <alignment horizontal="center" vertical="center" wrapText="1"/>
    </xf>
    <xf numFmtId="0" fontId="1" fillId="21" borderId="17" xfId="0" applyFont="1" applyFill="1" applyBorder="1" applyAlignment="1">
      <alignment horizontal="center" vertical="center" wrapText="1"/>
    </xf>
    <xf numFmtId="0" fontId="2" fillId="23" borderId="1" xfId="0" applyFont="1" applyFill="1" applyBorder="1" applyAlignment="1">
      <alignment vertical="center"/>
    </xf>
    <xf numFmtId="0" fontId="2" fillId="23" borderId="0" xfId="0" applyFont="1" applyFill="1" applyAlignment="1">
      <alignment vertical="center"/>
    </xf>
    <xf numFmtId="0" fontId="35" fillId="10" borderId="0" xfId="0" applyFont="1" applyFill="1"/>
    <xf numFmtId="0" fontId="46" fillId="10" borderId="0" xfId="0" applyFont="1" applyFill="1" applyAlignment="1">
      <alignment vertical="center" wrapText="1"/>
    </xf>
    <xf numFmtId="0" fontId="2" fillId="24" borderId="1" xfId="0" applyFont="1" applyFill="1" applyBorder="1" applyAlignment="1">
      <alignment vertical="center"/>
    </xf>
    <xf numFmtId="0" fontId="2" fillId="24" borderId="2" xfId="0" applyFont="1" applyFill="1" applyBorder="1" applyAlignment="1">
      <alignment horizontal="center" vertical="center"/>
    </xf>
    <xf numFmtId="0" fontId="32" fillId="24" borderId="1" xfId="0" applyFont="1" applyFill="1" applyBorder="1" applyAlignment="1">
      <alignment vertical="center"/>
    </xf>
    <xf numFmtId="0" fontId="2" fillId="24" borderId="3" xfId="0" applyFont="1" applyFill="1" applyBorder="1" applyAlignment="1">
      <alignment vertical="center"/>
    </xf>
    <xf numFmtId="0" fontId="2" fillId="24" borderId="4" xfId="0" applyFont="1" applyFill="1" applyBorder="1" applyAlignment="1">
      <alignment horizontal="center" vertical="center"/>
    </xf>
    <xf numFmtId="0" fontId="2" fillId="24" borderId="1" xfId="2" applyFont="1" applyFill="1" applyBorder="1" applyAlignment="1">
      <alignment vertical="center"/>
    </xf>
    <xf numFmtId="0" fontId="2" fillId="24" borderId="2" xfId="2" applyFont="1" applyFill="1" applyBorder="1" applyAlignment="1">
      <alignment horizontal="center" vertical="center"/>
    </xf>
    <xf numFmtId="0" fontId="2" fillId="24" borderId="1" xfId="0" applyFont="1" applyFill="1" applyBorder="1" applyAlignment="1">
      <alignment horizontal="center" vertical="center"/>
    </xf>
    <xf numFmtId="0" fontId="51" fillId="6" borderId="0" xfId="0" applyFont="1" applyFill="1" applyAlignment="1">
      <alignment vertical="center"/>
    </xf>
    <xf numFmtId="0" fontId="2" fillId="6" borderId="0" xfId="0" applyFont="1" applyFill="1" applyAlignment="1">
      <alignment horizontal="left" vertical="center"/>
    </xf>
    <xf numFmtId="0" fontId="31" fillId="0" borderId="1" xfId="0" applyFont="1" applyBorder="1" applyAlignment="1">
      <alignment horizontal="center"/>
    </xf>
    <xf numFmtId="0" fontId="2" fillId="24" borderId="1" xfId="0" applyFont="1" applyFill="1" applyBorder="1" applyAlignment="1">
      <alignment horizontal="left" vertical="center"/>
    </xf>
    <xf numFmtId="0" fontId="2" fillId="0" borderId="1" xfId="0" applyFont="1" applyBorder="1" applyAlignment="1">
      <alignment horizontal="left" vertical="center"/>
    </xf>
    <xf numFmtId="0" fontId="2" fillId="24" borderId="1" xfId="2" applyFont="1" applyFill="1" applyBorder="1" applyAlignment="1">
      <alignment horizontal="center" vertical="center"/>
    </xf>
    <xf numFmtId="0" fontId="2" fillId="0" borderId="3" xfId="0" applyFont="1" applyBorder="1" applyAlignment="1">
      <alignment horizontal="center" vertical="center"/>
    </xf>
    <xf numFmtId="0" fontId="2" fillId="4" borderId="23" xfId="0" applyFont="1" applyFill="1" applyBorder="1" applyAlignment="1">
      <alignment horizontal="center" vertical="center"/>
    </xf>
    <xf numFmtId="0" fontId="8" fillId="5" borderId="1" xfId="1" applyFill="1" applyBorder="1" applyAlignment="1" applyProtection="1">
      <alignment horizontal="center" vertical="center"/>
    </xf>
    <xf numFmtId="0" fontId="31" fillId="4" borderId="0" xfId="0" applyFont="1" applyFill="1" applyAlignment="1">
      <alignment horizontal="center"/>
    </xf>
    <xf numFmtId="0" fontId="35" fillId="4" borderId="0" xfId="0" applyFont="1" applyFill="1" applyAlignment="1">
      <alignment horizontal="center"/>
    </xf>
    <xf numFmtId="0" fontId="48" fillId="25" borderId="30" xfId="0" applyFont="1" applyFill="1" applyBorder="1" applyAlignment="1">
      <alignment horizontal="center" vertical="center" wrapText="1"/>
    </xf>
    <xf numFmtId="0" fontId="46" fillId="4" borderId="0" xfId="0" applyFont="1" applyFill="1" applyAlignment="1">
      <alignment vertical="center" wrapText="1"/>
    </xf>
    <xf numFmtId="0" fontId="33" fillId="24" borderId="3" xfId="0" applyFont="1" applyFill="1" applyBorder="1" applyAlignment="1">
      <alignment horizontal="center" vertical="center"/>
    </xf>
    <xf numFmtId="0" fontId="33" fillId="24" borderId="4" xfId="0" applyFont="1" applyFill="1" applyBorder="1" applyAlignment="1">
      <alignment horizontal="center" vertical="center"/>
    </xf>
    <xf numFmtId="0" fontId="58" fillId="4" borderId="1" xfId="1" applyFont="1" applyFill="1" applyBorder="1" applyAlignment="1" applyProtection="1">
      <alignment horizontal="left" vertical="center"/>
    </xf>
    <xf numFmtId="0" fontId="33" fillId="5" borderId="9" xfId="0" applyFont="1" applyFill="1" applyBorder="1" applyAlignment="1">
      <alignment horizontal="center" vertical="center"/>
    </xf>
    <xf numFmtId="0" fontId="33" fillId="4" borderId="9" xfId="0" applyFont="1" applyFill="1" applyBorder="1" applyAlignment="1">
      <alignment horizontal="center" vertical="center"/>
    </xf>
    <xf numFmtId="0" fontId="33" fillId="0" borderId="1" xfId="0" applyFont="1" applyBorder="1" applyAlignment="1">
      <alignment vertical="center"/>
    </xf>
    <xf numFmtId="0" fontId="33" fillId="0" borderId="0" xfId="0" applyFont="1" applyAlignment="1">
      <alignment vertical="center"/>
    </xf>
    <xf numFmtId="0" fontId="52" fillId="4" borderId="0" xfId="0" applyFont="1" applyFill="1"/>
    <xf numFmtId="0" fontId="32" fillId="4" borderId="0" xfId="0" applyFont="1" applyFill="1" applyAlignment="1">
      <alignment horizontal="center" vertical="center"/>
    </xf>
    <xf numFmtId="0" fontId="8" fillId="0" borderId="1" xfId="1" applyBorder="1" applyAlignment="1" applyProtection="1"/>
    <xf numFmtId="0" fontId="32" fillId="4" borderId="1" xfId="0" applyFont="1" applyFill="1" applyBorder="1" applyAlignment="1">
      <alignment horizontal="left" vertical="center"/>
    </xf>
    <xf numFmtId="0" fontId="2" fillId="23" borderId="0" xfId="0" applyFont="1" applyFill="1" applyAlignment="1">
      <alignment horizontal="left" vertical="center"/>
    </xf>
    <xf numFmtId="0" fontId="51" fillId="23" borderId="0" xfId="0" applyFont="1" applyFill="1" applyAlignment="1">
      <alignment vertical="center"/>
    </xf>
    <xf numFmtId="0" fontId="45" fillId="0" borderId="0" xfId="0" applyFont="1" applyAlignment="1">
      <alignment horizontal="left" vertical="center"/>
    </xf>
    <xf numFmtId="0" fontId="2" fillId="4" borderId="1" xfId="2" applyFont="1" applyFill="1" applyBorder="1" applyAlignment="1">
      <alignment horizontal="left" vertical="center"/>
    </xf>
    <xf numFmtId="0" fontId="5" fillId="4" borderId="1" xfId="0" applyFont="1" applyFill="1" applyBorder="1" applyAlignment="1">
      <alignment horizontal="left" vertical="center"/>
    </xf>
    <xf numFmtId="0" fontId="31" fillId="3" borderId="0" xfId="0" applyFont="1" applyFill="1" applyAlignment="1">
      <alignment horizontal="left"/>
    </xf>
    <xf numFmtId="0" fontId="33" fillId="4" borderId="1" xfId="2" applyFont="1" applyFill="1" applyBorder="1" applyAlignment="1">
      <alignment horizontal="left" vertical="center"/>
    </xf>
    <xf numFmtId="0" fontId="33" fillId="4" borderId="1" xfId="0" applyFont="1" applyFill="1" applyBorder="1" applyAlignment="1">
      <alignment horizontal="left" vertical="center"/>
    </xf>
    <xf numFmtId="0" fontId="48" fillId="14" borderId="30" xfId="0" applyFont="1" applyFill="1" applyBorder="1" applyAlignment="1">
      <alignment horizontal="left" vertical="center" wrapText="1"/>
    </xf>
    <xf numFmtId="0" fontId="43" fillId="0" borderId="0" xfId="0" applyFont="1" applyAlignment="1">
      <alignment horizontal="left" vertical="center" wrapText="1"/>
    </xf>
    <xf numFmtId="0" fontId="2" fillId="4" borderId="24" xfId="0" applyFont="1" applyFill="1" applyBorder="1" applyAlignment="1">
      <alignment horizontal="center" vertical="center"/>
    </xf>
    <xf numFmtId="0" fontId="60" fillId="4" borderId="1" xfId="0" applyFont="1" applyFill="1" applyBorder="1" applyAlignment="1">
      <alignment vertical="center"/>
    </xf>
    <xf numFmtId="0" fontId="61" fillId="0" borderId="0" xfId="0" applyFont="1"/>
    <xf numFmtId="0" fontId="62" fillId="5" borderId="0" xfId="0" applyFont="1" applyFill="1" applyAlignment="1">
      <alignment vertical="center" wrapText="1"/>
    </xf>
    <xf numFmtId="0" fontId="62" fillId="10" borderId="0" xfId="0" applyFont="1" applyFill="1" applyAlignment="1">
      <alignment vertical="center" wrapText="1"/>
    </xf>
    <xf numFmtId="0" fontId="61" fillId="5" borderId="0" xfId="0" applyFont="1" applyFill="1" applyAlignment="1">
      <alignment vertical="center"/>
    </xf>
    <xf numFmtId="0" fontId="63" fillId="5" borderId="0" xfId="0" applyFont="1" applyFill="1" applyAlignment="1">
      <alignment vertical="center" wrapText="1"/>
    </xf>
    <xf numFmtId="0" fontId="61" fillId="14" borderId="30" xfId="0" applyFont="1" applyFill="1" applyBorder="1" applyAlignment="1">
      <alignment vertical="center" wrapText="1"/>
    </xf>
    <xf numFmtId="0" fontId="2" fillId="4" borderId="1" xfId="0" applyFont="1" applyFill="1" applyBorder="1" applyAlignment="1">
      <alignment vertical="center" wrapText="1"/>
    </xf>
    <xf numFmtId="0" fontId="3" fillId="6" borderId="2" xfId="2" applyFont="1" applyFill="1" applyBorder="1" applyAlignment="1">
      <alignment vertical="center"/>
    </xf>
    <xf numFmtId="0" fontId="33" fillId="4" borderId="6" xfId="0" applyFont="1" applyFill="1" applyBorder="1" applyAlignment="1">
      <alignment horizontal="left" vertical="center"/>
    </xf>
    <xf numFmtId="0" fontId="33" fillId="4" borderId="5" xfId="0" applyFont="1" applyFill="1" applyBorder="1" applyAlignment="1">
      <alignment vertical="center"/>
    </xf>
    <xf numFmtId="16" fontId="2" fillId="24" borderId="1" xfId="2" applyNumberFormat="1" applyFont="1" applyFill="1" applyBorder="1" applyAlignment="1">
      <alignment vertical="center"/>
    </xf>
    <xf numFmtId="16" fontId="2" fillId="24" borderId="1" xfId="0" applyNumberFormat="1" applyFont="1" applyFill="1" applyBorder="1" applyAlignment="1">
      <alignment vertical="center"/>
    </xf>
    <xf numFmtId="0" fontId="2" fillId="28" borderId="1" xfId="0" applyFont="1" applyFill="1" applyBorder="1" applyAlignment="1">
      <alignment horizontal="center" vertical="center"/>
    </xf>
    <xf numFmtId="0" fontId="2" fillId="24" borderId="1" xfId="0" applyFont="1" applyFill="1" applyBorder="1" applyAlignment="1">
      <alignment vertical="center" wrapText="1"/>
    </xf>
    <xf numFmtId="0" fontId="60" fillId="4" borderId="1" xfId="2" applyFont="1" applyFill="1" applyBorder="1" applyAlignment="1">
      <alignment vertical="center"/>
    </xf>
    <xf numFmtId="0" fontId="22" fillId="4" borderId="1" xfId="1" applyFont="1" applyFill="1" applyBorder="1" applyAlignment="1" applyProtection="1">
      <alignment horizontal="left" vertical="center" wrapText="1"/>
    </xf>
    <xf numFmtId="0" fontId="33" fillId="6" borderId="2" xfId="0" applyFont="1" applyFill="1" applyBorder="1" applyAlignment="1">
      <alignment vertical="center" wrapText="1"/>
    </xf>
    <xf numFmtId="0" fontId="2" fillId="6" borderId="2" xfId="0" applyFont="1" applyFill="1" applyBorder="1" applyAlignment="1">
      <alignment vertical="center" wrapText="1"/>
    </xf>
    <xf numFmtId="0" fontId="2" fillId="10" borderId="1" xfId="0" applyFont="1" applyFill="1" applyBorder="1" applyAlignment="1">
      <alignment horizontal="center" vertical="center"/>
    </xf>
    <xf numFmtId="0" fontId="34" fillId="4" borderId="1" xfId="0" applyFont="1" applyFill="1" applyBorder="1" applyAlignment="1">
      <alignment vertical="center" wrapText="1"/>
    </xf>
    <xf numFmtId="0" fontId="32" fillId="4" borderId="1" xfId="0" applyFont="1" applyFill="1" applyBorder="1" applyAlignment="1">
      <alignment vertical="center" wrapText="1"/>
    </xf>
    <xf numFmtId="0" fontId="32" fillId="24" borderId="1" xfId="0" applyFont="1" applyFill="1" applyBorder="1" applyAlignment="1">
      <alignment wrapText="1"/>
    </xf>
    <xf numFmtId="0" fontId="32" fillId="24" borderId="1" xfId="0" applyFont="1" applyFill="1" applyBorder="1"/>
    <xf numFmtId="0" fontId="54" fillId="5" borderId="1" xfId="1" applyFont="1" applyFill="1" applyBorder="1" applyAlignment="1" applyProtection="1">
      <alignment horizontal="center" vertical="center"/>
    </xf>
    <xf numFmtId="0" fontId="2" fillId="4" borderId="1" xfId="1" applyFont="1" applyFill="1" applyBorder="1" applyAlignment="1" applyProtection="1">
      <alignment vertical="center"/>
    </xf>
    <xf numFmtId="0" fontId="60" fillId="0" borderId="1" xfId="0" applyFont="1" applyBorder="1" applyAlignment="1">
      <alignment vertical="center"/>
    </xf>
    <xf numFmtId="0" fontId="60" fillId="4" borderId="1" xfId="1" applyFont="1" applyFill="1" applyBorder="1" applyAlignment="1" applyProtection="1">
      <alignment vertical="center"/>
    </xf>
    <xf numFmtId="0" fontId="2" fillId="6" borderId="1" xfId="0" applyFont="1" applyFill="1" applyBorder="1" applyAlignment="1">
      <alignment horizontal="left" vertical="center"/>
    </xf>
    <xf numFmtId="49" fontId="12" fillId="4" borderId="1" xfId="1" applyNumberFormat="1" applyFont="1" applyFill="1" applyBorder="1" applyAlignment="1" applyProtection="1">
      <alignment horizontal="left" vertical="center"/>
    </xf>
    <xf numFmtId="0" fontId="22" fillId="6" borderId="1" xfId="1" applyFont="1" applyFill="1" applyBorder="1" applyAlignment="1" applyProtection="1">
      <alignment horizontal="left" vertical="center"/>
    </xf>
    <xf numFmtId="0" fontId="2" fillId="6" borderId="9" xfId="0" applyFont="1" applyFill="1" applyBorder="1" applyAlignment="1">
      <alignment horizontal="center" vertical="center"/>
    </xf>
    <xf numFmtId="0" fontId="33" fillId="24" borderId="1" xfId="0" applyFont="1" applyFill="1" applyBorder="1" applyAlignment="1">
      <alignment vertical="center"/>
    </xf>
    <xf numFmtId="0" fontId="33" fillId="24" borderId="2" xfId="0" applyFont="1" applyFill="1" applyBorder="1" applyAlignment="1">
      <alignment horizontal="center" vertical="center"/>
    </xf>
    <xf numFmtId="0" fontId="69" fillId="4" borderId="1" xfId="1" applyFont="1" applyFill="1" applyBorder="1" applyAlignment="1" applyProtection="1">
      <alignment horizontal="left" vertical="center"/>
    </xf>
    <xf numFmtId="0" fontId="33" fillId="4" borderId="1" xfId="2" applyFont="1" applyFill="1" applyBorder="1" applyAlignment="1">
      <alignment horizontal="center" vertical="center"/>
    </xf>
    <xf numFmtId="0" fontId="2" fillId="0" borderId="9" xfId="0" applyFont="1" applyBorder="1" applyAlignment="1">
      <alignment horizontal="center" vertical="center"/>
    </xf>
    <xf numFmtId="0" fontId="32" fillId="0" borderId="1" xfId="0" applyFont="1" applyBorder="1" applyAlignment="1">
      <alignment horizontal="left" vertical="center"/>
    </xf>
    <xf numFmtId="0" fontId="54" fillId="0" borderId="1" xfId="0" applyFont="1" applyBorder="1" applyAlignment="1">
      <alignment horizontal="center" vertical="center"/>
    </xf>
    <xf numFmtId="0" fontId="33" fillId="0" borderId="4" xfId="0" applyFont="1" applyBorder="1" applyAlignment="1">
      <alignment horizontal="center" vertical="center"/>
    </xf>
    <xf numFmtId="0" fontId="33" fillId="0" borderId="3" xfId="0" applyFont="1" applyBorder="1" applyAlignment="1">
      <alignment horizontal="center" vertical="center"/>
    </xf>
    <xf numFmtId="0" fontId="5" fillId="4" borderId="1" xfId="0" applyFont="1" applyFill="1" applyBorder="1" applyAlignment="1">
      <alignment vertical="center"/>
    </xf>
    <xf numFmtId="0" fontId="35" fillId="0" borderId="1" xfId="0" applyFont="1" applyBorder="1" applyAlignment="1">
      <alignment horizontal="left"/>
    </xf>
    <xf numFmtId="0" fontId="54" fillId="4" borderId="1" xfId="0" applyFont="1" applyFill="1" applyBorder="1" applyAlignment="1">
      <alignment horizontal="left" vertical="center"/>
    </xf>
    <xf numFmtId="0" fontId="32" fillId="0" borderId="1" xfId="0" applyFont="1" applyBorder="1" applyAlignment="1">
      <alignment horizontal="center" vertical="center"/>
    </xf>
    <xf numFmtId="0" fontId="2" fillId="5" borderId="1" xfId="0" applyFont="1" applyFill="1" applyBorder="1" applyAlignment="1">
      <alignment horizontal="center" vertical="center" wrapText="1"/>
    </xf>
    <xf numFmtId="0" fontId="2" fillId="5" borderId="1" xfId="0" quotePrefix="1" applyFont="1" applyFill="1" applyBorder="1" applyAlignment="1">
      <alignment horizontal="center" vertical="center"/>
    </xf>
    <xf numFmtId="0" fontId="33" fillId="4" borderId="1" xfId="2" applyFont="1" applyFill="1" applyBorder="1" applyAlignment="1">
      <alignment vertical="center" wrapText="1"/>
    </xf>
    <xf numFmtId="0" fontId="3" fillId="4" borderId="1" xfId="0" applyFont="1" applyFill="1" applyBorder="1" applyAlignment="1">
      <alignment vertical="center" wrapText="1"/>
    </xf>
    <xf numFmtId="0" fontId="33" fillId="4" borderId="1" xfId="0" applyFont="1" applyFill="1" applyBorder="1" applyAlignment="1">
      <alignment vertical="center" wrapText="1"/>
    </xf>
    <xf numFmtId="0" fontId="4" fillId="4" borderId="1" xfId="0" applyFont="1" applyFill="1" applyBorder="1" applyAlignment="1">
      <alignment vertical="center"/>
    </xf>
    <xf numFmtId="0" fontId="3" fillId="4" borderId="1" xfId="0" applyFont="1" applyFill="1" applyBorder="1" applyAlignment="1">
      <alignment vertical="center"/>
    </xf>
    <xf numFmtId="0" fontId="34" fillId="4" borderId="1" xfId="0" applyFont="1" applyFill="1" applyBorder="1" applyAlignment="1">
      <alignment horizontal="left" vertical="center"/>
    </xf>
    <xf numFmtId="0" fontId="2" fillId="4" borderId="1" xfId="2" applyFont="1" applyFill="1" applyBorder="1" applyAlignment="1">
      <alignment vertical="center" wrapText="1"/>
    </xf>
    <xf numFmtId="0" fontId="32" fillId="24" borderId="1" xfId="0" applyFont="1" applyFill="1" applyBorder="1" applyAlignment="1">
      <alignment horizontal="center" vertical="center"/>
    </xf>
    <xf numFmtId="0" fontId="10" fillId="4" borderId="1" xfId="1" applyFont="1" applyFill="1" applyBorder="1" applyAlignment="1" applyProtection="1">
      <alignment horizontal="left" vertical="center"/>
    </xf>
    <xf numFmtId="0" fontId="1" fillId="2" borderId="1" xfId="0" applyFont="1" applyFill="1" applyBorder="1" applyAlignment="1">
      <alignment horizontal="center" vertical="center" wrapText="1"/>
    </xf>
    <xf numFmtId="0" fontId="57" fillId="26" borderId="1" xfId="0" applyFont="1" applyFill="1" applyBorder="1" applyAlignment="1">
      <alignment horizontal="center" vertical="center" wrapText="1"/>
    </xf>
    <xf numFmtId="0" fontId="57" fillId="18"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6" fillId="18"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57" fillId="17"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51" fillId="4" borderId="1" xfId="0" applyFont="1" applyFill="1" applyBorder="1" applyAlignment="1">
      <alignment vertical="center"/>
    </xf>
    <xf numFmtId="0" fontId="51" fillId="16" borderId="1" xfId="0" applyFont="1" applyFill="1" applyBorder="1" applyAlignment="1">
      <alignment vertical="center"/>
    </xf>
    <xf numFmtId="0" fontId="51" fillId="0" borderId="1" xfId="0" applyFont="1" applyBorder="1" applyAlignment="1">
      <alignment horizontal="center" vertical="center"/>
    </xf>
    <xf numFmtId="0" fontId="51" fillId="0" borderId="1" xfId="0" applyFont="1" applyBorder="1" applyAlignment="1">
      <alignment vertical="center"/>
    </xf>
    <xf numFmtId="0" fontId="51" fillId="10" borderId="1" xfId="0" applyFont="1" applyFill="1" applyBorder="1" applyAlignment="1">
      <alignment vertical="center"/>
    </xf>
    <xf numFmtId="0" fontId="32" fillId="10" borderId="1" xfId="0" applyFont="1" applyFill="1" applyBorder="1" applyAlignment="1">
      <alignment horizontal="left" vertical="center"/>
    </xf>
    <xf numFmtId="0" fontId="2" fillId="23" borderId="1" xfId="0" applyFont="1" applyFill="1" applyBorder="1" applyAlignment="1">
      <alignment horizontal="left" vertical="center"/>
    </xf>
    <xf numFmtId="0" fontId="51" fillId="23" borderId="1" xfId="0" applyFont="1" applyFill="1" applyBorder="1" applyAlignment="1">
      <alignment vertical="center"/>
    </xf>
    <xf numFmtId="0" fontId="41" fillId="0" borderId="1" xfId="0" applyFont="1" applyBorder="1" applyAlignment="1">
      <alignment vertical="center"/>
    </xf>
    <xf numFmtId="0" fontId="54" fillId="0" borderId="1" xfId="0" applyFont="1" applyBorder="1"/>
    <xf numFmtId="0" fontId="32" fillId="0" borderId="1" xfId="0" applyFont="1" applyBorder="1" applyAlignment="1">
      <alignment wrapText="1"/>
    </xf>
    <xf numFmtId="0" fontId="33"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54" fillId="5" borderId="1" xfId="4" applyFont="1" applyFill="1" applyBorder="1" applyAlignment="1">
      <alignment horizontal="center" vertical="center"/>
    </xf>
    <xf numFmtId="0" fontId="32" fillId="4" borderId="1" xfId="0" applyFont="1" applyFill="1" applyBorder="1" applyAlignment="1">
      <alignment wrapText="1"/>
    </xf>
    <xf numFmtId="0" fontId="51" fillId="4" borderId="1" xfId="0" applyFont="1" applyFill="1" applyBorder="1" applyAlignment="1">
      <alignment horizontal="center" vertical="center"/>
    </xf>
    <xf numFmtId="0" fontId="2" fillId="5" borderId="1" xfId="0" applyFont="1" applyFill="1" applyBorder="1" applyAlignment="1">
      <alignment horizontal="left" vertical="center"/>
    </xf>
    <xf numFmtId="0" fontId="54" fillId="4" borderId="1" xfId="0" applyFont="1" applyFill="1" applyBorder="1" applyAlignment="1">
      <alignment vertical="center"/>
    </xf>
    <xf numFmtId="0" fontId="70" fillId="5" borderId="1" xfId="1" applyFont="1" applyFill="1" applyBorder="1" applyAlignment="1" applyProtection="1">
      <alignment horizontal="center" vertical="center"/>
    </xf>
    <xf numFmtId="0" fontId="41" fillId="4" borderId="1" xfId="0" applyFont="1" applyFill="1" applyBorder="1" applyAlignment="1">
      <alignment horizontal="left" vertical="center"/>
    </xf>
    <xf numFmtId="0" fontId="59" fillId="0" borderId="1" xfId="0" applyFont="1" applyBorder="1" applyAlignment="1">
      <alignment vertical="center"/>
    </xf>
    <xf numFmtId="0" fontId="39" fillId="4" borderId="1" xfId="0" applyFont="1" applyFill="1" applyBorder="1" applyAlignment="1">
      <alignment vertical="center"/>
    </xf>
    <xf numFmtId="0" fontId="60" fillId="4" borderId="1" xfId="0" applyFont="1" applyFill="1" applyBorder="1" applyAlignment="1">
      <alignment vertical="center" wrapText="1"/>
    </xf>
    <xf numFmtId="0" fontId="38" fillId="4" borderId="1" xfId="0" applyFont="1" applyFill="1" applyBorder="1" applyAlignment="1">
      <alignment vertical="center"/>
    </xf>
    <xf numFmtId="0" fontId="2" fillId="4" borderId="1" xfId="3" applyFont="1" applyFill="1" applyBorder="1" applyAlignment="1">
      <alignment vertical="center" wrapText="1"/>
    </xf>
    <xf numFmtId="0" fontId="60" fillId="4" borderId="1" xfId="3" applyFont="1" applyFill="1" applyBorder="1" applyAlignment="1">
      <alignment vertical="center" wrapText="1"/>
    </xf>
    <xf numFmtId="17" fontId="2" fillId="5" borderId="1" xfId="0" applyNumberFormat="1" applyFont="1" applyFill="1" applyBorder="1" applyAlignment="1">
      <alignment horizontal="center" vertical="center"/>
    </xf>
    <xf numFmtId="0" fontId="61" fillId="0" borderId="1" xfId="0" applyFont="1" applyBorder="1"/>
    <xf numFmtId="0" fontId="52" fillId="4" borderId="1" xfId="0" applyFont="1" applyFill="1" applyBorder="1"/>
    <xf numFmtId="0" fontId="52" fillId="0" borderId="1" xfId="0" applyFont="1" applyBorder="1"/>
    <xf numFmtId="0" fontId="2" fillId="4" borderId="1" xfId="1" applyFont="1" applyFill="1" applyBorder="1" applyAlignment="1" applyProtection="1">
      <alignment vertical="center" wrapText="1"/>
    </xf>
    <xf numFmtId="0" fontId="31" fillId="0" borderId="1" xfId="0" applyFont="1" applyBorder="1" applyAlignment="1">
      <alignment horizontal="left"/>
    </xf>
    <xf numFmtId="0" fontId="53" fillId="4" borderId="1" xfId="0" applyFont="1" applyFill="1" applyBorder="1" applyAlignment="1">
      <alignment vertical="center"/>
    </xf>
    <xf numFmtId="0" fontId="12" fillId="4" borderId="1" xfId="1" applyFont="1" applyFill="1" applyBorder="1" applyAlignment="1" applyProtection="1">
      <alignment vertical="center"/>
    </xf>
    <xf numFmtId="0" fontId="33" fillId="0" borderId="1" xfId="0" applyFont="1" applyBorder="1" applyAlignment="1">
      <alignment vertical="center" wrapText="1"/>
    </xf>
    <xf numFmtId="0" fontId="51" fillId="4" borderId="1" xfId="0" applyFont="1" applyFill="1" applyBorder="1"/>
    <xf numFmtId="0" fontId="51" fillId="0" borderId="1" xfId="0" applyFont="1" applyBorder="1"/>
    <xf numFmtId="0" fontId="32" fillId="0" borderId="1" xfId="0" applyFont="1" applyBorder="1" applyAlignment="1">
      <alignment horizontal="left"/>
    </xf>
    <xf numFmtId="0" fontId="71" fillId="4" borderId="1" xfId="0" applyFont="1" applyFill="1" applyBorder="1" applyAlignment="1">
      <alignment horizontal="center" vertical="center"/>
    </xf>
    <xf numFmtId="0" fontId="61" fillId="4" borderId="1" xfId="0" applyFont="1" applyFill="1" applyBorder="1" applyAlignment="1">
      <alignment vertical="center"/>
    </xf>
    <xf numFmtId="0" fontId="54" fillId="4" borderId="1" xfId="2" applyFont="1" applyFill="1" applyBorder="1" applyAlignment="1">
      <alignment vertical="center"/>
    </xf>
    <xf numFmtId="0" fontId="54" fillId="4" borderId="1" xfId="0" applyFont="1" applyFill="1" applyBorder="1" applyAlignment="1">
      <alignment vertical="center" wrapText="1"/>
    </xf>
    <xf numFmtId="0" fontId="75" fillId="7" borderId="1" xfId="0" applyFont="1" applyFill="1" applyBorder="1" applyAlignment="1">
      <alignment horizontal="center" vertical="center" wrapText="1"/>
    </xf>
    <xf numFmtId="0" fontId="65" fillId="4" borderId="1" xfId="4" applyFill="1" applyBorder="1" applyAlignment="1">
      <alignment vertical="center" wrapText="1"/>
    </xf>
    <xf numFmtId="0" fontId="71" fillId="4" borderId="3" xfId="0" applyFont="1" applyFill="1" applyBorder="1" applyAlignment="1">
      <alignment horizontal="center" vertical="center"/>
    </xf>
    <xf numFmtId="0" fontId="78" fillId="0" borderId="3" xfId="0" applyFont="1" applyBorder="1" applyAlignment="1">
      <alignment horizontal="left"/>
    </xf>
    <xf numFmtId="0" fontId="36" fillId="0" borderId="3" xfId="0" applyFont="1" applyBorder="1"/>
    <xf numFmtId="0" fontId="35" fillId="0" borderId="3" xfId="0" applyFont="1" applyBorder="1"/>
    <xf numFmtId="0" fontId="31" fillId="0" borderId="3" xfId="0" applyFont="1" applyBorder="1"/>
    <xf numFmtId="0" fontId="61" fillId="0" borderId="3" xfId="0" applyFont="1" applyBorder="1"/>
    <xf numFmtId="0" fontId="31" fillId="0" borderId="3" xfId="0" applyFont="1" applyBorder="1" applyAlignment="1">
      <alignment horizontal="left"/>
    </xf>
    <xf numFmtId="0" fontId="31" fillId="0" borderId="3" xfId="0" applyFont="1" applyBorder="1" applyAlignment="1">
      <alignment horizontal="center"/>
    </xf>
    <xf numFmtId="0" fontId="31" fillId="4" borderId="3" xfId="0" applyFont="1" applyFill="1" applyBorder="1" applyAlignment="1">
      <alignment horizontal="center"/>
    </xf>
    <xf numFmtId="0" fontId="32" fillId="0" borderId="3" xfId="0" applyFont="1" applyBorder="1"/>
    <xf numFmtId="0" fontId="52" fillId="4" borderId="3" xfId="0" applyFont="1" applyFill="1" applyBorder="1"/>
    <xf numFmtId="0" fontId="52" fillId="0" borderId="3" xfId="0" applyFont="1" applyBorder="1"/>
    <xf numFmtId="0" fontId="31" fillId="0" borderId="4" xfId="0" applyFont="1" applyBorder="1" applyAlignment="1">
      <alignment horizontal="left"/>
    </xf>
    <xf numFmtId="0" fontId="33" fillId="4" borderId="8" xfId="0" applyFont="1" applyFill="1" applyBorder="1" applyAlignment="1">
      <alignment horizontal="center" vertical="center"/>
    </xf>
    <xf numFmtId="0" fontId="1" fillId="30" borderId="1" xfId="0" applyFont="1" applyFill="1" applyBorder="1" applyAlignment="1">
      <alignment horizontal="center" vertical="center" wrapText="1"/>
    </xf>
    <xf numFmtId="0" fontId="33" fillId="4" borderId="33" xfId="0" applyFont="1" applyFill="1" applyBorder="1" applyAlignment="1">
      <alignment horizontal="center" vertical="center"/>
    </xf>
    <xf numFmtId="0" fontId="65" fillId="5" borderId="1" xfId="4" applyFill="1" applyBorder="1" applyAlignment="1">
      <alignment horizontal="center" vertical="center"/>
    </xf>
    <xf numFmtId="0" fontId="65" fillId="5" borderId="1" xfId="4" applyFill="1" applyBorder="1" applyAlignment="1" applyProtection="1">
      <alignment horizontal="center" vertical="center"/>
    </xf>
    <xf numFmtId="0" fontId="32" fillId="24" borderId="0" xfId="0" applyFont="1" applyFill="1" applyAlignment="1">
      <alignment horizontal="center" vertical="center"/>
    </xf>
    <xf numFmtId="0" fontId="34" fillId="4" borderId="2" xfId="0" applyFont="1" applyFill="1" applyBorder="1" applyAlignment="1">
      <alignment vertical="center" wrapText="1"/>
    </xf>
    <xf numFmtId="0" fontId="73" fillId="29" borderId="0" xfId="0" applyFont="1" applyFill="1"/>
    <xf numFmtId="0" fontId="72" fillId="29" borderId="0" xfId="0" applyFont="1" applyFill="1"/>
    <xf numFmtId="0" fontId="31" fillId="24" borderId="1" xfId="0" applyFont="1" applyFill="1" applyBorder="1" applyAlignment="1">
      <alignment horizontal="center"/>
    </xf>
    <xf numFmtId="0" fontId="54" fillId="0" borderId="0" xfId="0" applyFont="1"/>
    <xf numFmtId="0" fontId="31" fillId="4" borderId="1" xfId="2" applyFont="1" applyFill="1" applyBorder="1" applyAlignment="1">
      <alignment vertical="center"/>
    </xf>
    <xf numFmtId="0" fontId="30" fillId="0" borderId="0" xfId="0" applyFont="1" applyAlignment="1">
      <alignment wrapText="1"/>
    </xf>
    <xf numFmtId="0" fontId="44" fillId="0" borderId="0" xfId="0" applyFont="1" applyAlignment="1">
      <alignment horizontal="center" vertical="center" wrapText="1"/>
    </xf>
    <xf numFmtId="0" fontId="43" fillId="0" borderId="0" xfId="0" applyFont="1" applyAlignment="1">
      <alignment horizontal="center" vertical="center" wrapText="1"/>
    </xf>
    <xf numFmtId="0" fontId="44" fillId="0" borderId="13" xfId="0" applyFont="1" applyBorder="1" applyAlignment="1">
      <alignment horizontal="center" vertical="center" wrapText="1"/>
    </xf>
    <xf numFmtId="0" fontId="44" fillId="0" borderId="14" xfId="0" applyFont="1" applyBorder="1" applyAlignment="1">
      <alignment horizontal="center" vertical="center" wrapText="1"/>
    </xf>
    <xf numFmtId="0" fontId="43" fillId="0" borderId="13" xfId="0" applyFont="1" applyBorder="1" applyAlignment="1">
      <alignment horizontal="center" vertical="center" wrapText="1"/>
    </xf>
    <xf numFmtId="0" fontId="43" fillId="0" borderId="14" xfId="0" applyFont="1" applyBorder="1" applyAlignment="1">
      <alignment horizontal="center" vertical="center" wrapText="1"/>
    </xf>
    <xf numFmtId="0" fontId="43" fillId="0" borderId="0" xfId="0" applyFont="1" applyAlignment="1">
      <alignment vertical="center" wrapText="1"/>
    </xf>
    <xf numFmtId="0" fontId="46" fillId="0" borderId="13" xfId="0" applyFont="1" applyBorder="1" applyAlignment="1">
      <alignment horizontal="center" vertical="center" wrapText="1"/>
    </xf>
    <xf numFmtId="0" fontId="46" fillId="0" borderId="14" xfId="0" applyFont="1" applyBorder="1" applyAlignment="1">
      <alignment horizontal="center" vertical="center" wrapText="1"/>
    </xf>
    <xf numFmtId="0" fontId="46" fillId="0" borderId="0" xfId="0" applyFont="1" applyAlignment="1">
      <alignment vertical="center" wrapText="1"/>
    </xf>
    <xf numFmtId="0" fontId="43" fillId="0" borderId="27" xfId="0" applyFont="1" applyBorder="1" applyAlignment="1">
      <alignment vertical="center" wrapText="1"/>
    </xf>
    <xf numFmtId="0" fontId="43" fillId="0" borderId="28" xfId="0" applyFont="1" applyBorder="1" applyAlignment="1">
      <alignment vertical="center" wrapText="1"/>
    </xf>
    <xf numFmtId="0" fontId="46" fillId="0" borderId="13" xfId="0" applyFont="1" applyBorder="1" applyAlignment="1">
      <alignment vertical="center" wrapText="1"/>
    </xf>
    <xf numFmtId="0" fontId="46" fillId="0" borderId="14" xfId="0" applyFont="1" applyBorder="1" applyAlignment="1">
      <alignment vertical="center" wrapText="1"/>
    </xf>
    <xf numFmtId="0" fontId="43" fillId="0" borderId="13" xfId="0" applyFont="1" applyBorder="1" applyAlignment="1">
      <alignment vertical="center" wrapText="1"/>
    </xf>
    <xf numFmtId="0" fontId="43" fillId="0" borderId="14" xfId="0" applyFont="1" applyBorder="1" applyAlignment="1">
      <alignment vertical="center" wrapText="1"/>
    </xf>
    <xf numFmtId="0" fontId="49" fillId="0" borderId="13" xfId="0" applyFont="1" applyBorder="1" applyAlignment="1">
      <alignment vertical="center" wrapText="1"/>
    </xf>
    <xf numFmtId="0" fontId="49" fillId="0" borderId="14" xfId="0" applyFont="1" applyBorder="1" applyAlignment="1">
      <alignment vertical="center" wrapText="1"/>
    </xf>
    <xf numFmtId="0" fontId="49" fillId="0" borderId="13" xfId="0" applyFont="1" applyBorder="1" applyAlignment="1">
      <alignment horizontal="center" vertical="center" wrapText="1"/>
    </xf>
    <xf numFmtId="0" fontId="49" fillId="0" borderId="14" xfId="0" applyFont="1" applyBorder="1" applyAlignment="1">
      <alignment horizontal="center" vertical="center" wrapText="1"/>
    </xf>
    <xf numFmtId="0" fontId="49" fillId="0" borderId="31" xfId="0" applyFont="1" applyBorder="1" applyAlignment="1">
      <alignment vertical="center" wrapText="1"/>
    </xf>
    <xf numFmtId="0" fontId="49" fillId="0" borderId="0" xfId="0" applyFont="1" applyAlignment="1">
      <alignment vertical="center" wrapText="1"/>
    </xf>
    <xf numFmtId="0" fontId="46" fillId="0" borderId="0" xfId="0" applyFont="1" applyAlignment="1">
      <alignment horizontal="center" vertical="center" wrapText="1"/>
    </xf>
    <xf numFmtId="0" fontId="49" fillId="5" borderId="31" xfId="0" applyFont="1" applyFill="1" applyBorder="1" applyAlignment="1">
      <alignment vertical="center" wrapText="1"/>
    </xf>
    <xf numFmtId="0" fontId="49" fillId="5" borderId="0" xfId="0" applyFont="1" applyFill="1" applyAlignment="1">
      <alignment vertical="center" wrapText="1"/>
    </xf>
    <xf numFmtId="0" fontId="49" fillId="0" borderId="31" xfId="0" applyFont="1" applyBorder="1" applyAlignment="1">
      <alignment horizontal="center" vertical="center" wrapText="1"/>
    </xf>
    <xf numFmtId="0" fontId="49" fillId="0" borderId="0" xfId="0" applyFont="1" applyAlignment="1">
      <alignment horizontal="center" vertical="center" wrapText="1"/>
    </xf>
    <xf numFmtId="0" fontId="49" fillId="27" borderId="31" xfId="0" applyFont="1" applyFill="1" applyBorder="1" applyAlignment="1">
      <alignment vertical="center" wrapText="1"/>
    </xf>
    <xf numFmtId="0" fontId="49" fillId="27" borderId="0" xfId="0" applyFont="1" applyFill="1" applyAlignment="1">
      <alignment vertical="center" wrapText="1"/>
    </xf>
    <xf numFmtId="0" fontId="42" fillId="0" borderId="0" xfId="0" applyFont="1" applyAlignment="1">
      <alignment vertical="center"/>
    </xf>
    <xf numFmtId="0" fontId="46" fillId="5" borderId="0" xfId="0" applyFont="1" applyFill="1" applyAlignment="1">
      <alignment vertical="center" wrapText="1"/>
    </xf>
    <xf numFmtId="0" fontId="64" fillId="0" borderId="0" xfId="0" applyFont="1" applyAlignment="1">
      <alignment wrapText="1"/>
    </xf>
    <xf numFmtId="0" fontId="42" fillId="0" borderId="0" xfId="0" applyFont="1" applyAlignment="1">
      <alignment wrapText="1"/>
    </xf>
    <xf numFmtId="0" fontId="49" fillId="5" borderId="31" xfId="0" applyFont="1" applyFill="1" applyBorder="1" applyAlignment="1">
      <alignment horizontal="center" vertical="center" wrapText="1"/>
    </xf>
    <xf numFmtId="0" fontId="49" fillId="5" borderId="0" xfId="0" applyFont="1" applyFill="1" applyAlignment="1">
      <alignment horizontal="center" vertical="center" wrapText="1"/>
    </xf>
    <xf numFmtId="0" fontId="30" fillId="0" borderId="0" xfId="0" applyFont="1" applyAlignment="1">
      <alignment horizontal="center" vertical="center"/>
    </xf>
    <xf numFmtId="0" fontId="45" fillId="0" borderId="0" xfId="0" applyFont="1" applyAlignment="1">
      <alignment horizontal="center" vertical="center"/>
    </xf>
    <xf numFmtId="0" fontId="45" fillId="0" borderId="0" xfId="0" applyFont="1" applyAlignment="1">
      <alignment horizontal="left" vertical="center"/>
    </xf>
    <xf numFmtId="0" fontId="42" fillId="0" borderId="0" xfId="0" applyFont="1" applyAlignment="1">
      <alignment horizontal="center" vertical="center"/>
    </xf>
    <xf numFmtId="0" fontId="47" fillId="0" borderId="0" xfId="0" applyFont="1" applyAlignment="1">
      <alignment horizontal="center" vertical="center"/>
    </xf>
    <xf numFmtId="0" fontId="50" fillId="5" borderId="0" xfId="0" applyFont="1" applyFill="1" applyAlignment="1">
      <alignment vertical="center"/>
    </xf>
    <xf numFmtId="0" fontId="50" fillId="5" borderId="0" xfId="0" applyFont="1" applyFill="1" applyAlignment="1">
      <alignment horizontal="center" vertical="center"/>
    </xf>
    <xf numFmtId="0" fontId="50" fillId="5" borderId="32" xfId="0" applyFont="1" applyFill="1" applyBorder="1" applyAlignment="1">
      <alignment horizontal="center" vertical="center"/>
    </xf>
    <xf numFmtId="0" fontId="45" fillId="0" borderId="0" xfId="0" applyFont="1" applyAlignment="1">
      <alignment vertical="center"/>
    </xf>
    <xf numFmtId="0" fontId="47" fillId="5" borderId="0" xfId="0" applyFont="1" applyFill="1" applyAlignment="1">
      <alignment vertical="center"/>
    </xf>
    <xf numFmtId="0" fontId="47" fillId="0" borderId="0" xfId="0" applyFont="1" applyAlignment="1">
      <alignment vertical="center"/>
    </xf>
    <xf numFmtId="0" fontId="30" fillId="0" borderId="0" xfId="0" applyFont="1" applyAlignment="1">
      <alignment vertical="center"/>
    </xf>
    <xf numFmtId="0" fontId="8" fillId="0" borderId="0" xfId="1" applyAlignment="1" applyProtection="1">
      <alignment wrapText="1"/>
    </xf>
    <xf numFmtId="0" fontId="44" fillId="0" borderId="31" xfId="0" applyFont="1" applyBorder="1" applyAlignment="1">
      <alignment horizontal="center" vertical="center" wrapText="1"/>
    </xf>
    <xf numFmtId="0" fontId="43" fillId="0" borderId="31" xfId="0" applyFont="1" applyBorder="1" applyAlignment="1">
      <alignment vertical="center" wrapText="1"/>
    </xf>
    <xf numFmtId="0" fontId="42" fillId="0" borderId="31" xfId="0" applyFont="1" applyBorder="1" applyAlignment="1">
      <alignment wrapText="1"/>
    </xf>
    <xf numFmtId="0" fontId="46" fillId="0" borderId="31" xfId="0" applyFont="1" applyBorder="1" applyAlignment="1">
      <alignment vertical="center" wrapText="1"/>
    </xf>
    <xf numFmtId="0" fontId="43" fillId="0" borderId="31" xfId="0" applyFont="1" applyBorder="1" applyAlignment="1">
      <alignment horizontal="center" vertical="center" wrapText="1"/>
    </xf>
    <xf numFmtId="0" fontId="46" fillId="0" borderId="31" xfId="0" applyFont="1" applyBorder="1" applyAlignment="1">
      <alignment horizontal="center" vertical="center" wrapText="1"/>
    </xf>
    <xf numFmtId="0" fontId="31" fillId="24" borderId="1" xfId="0" applyFont="1" applyFill="1" applyBorder="1" applyAlignment="1">
      <alignment vertical="center"/>
    </xf>
    <xf numFmtId="0" fontId="31" fillId="4" borderId="1" xfId="0" applyFont="1" applyFill="1" applyBorder="1" applyAlignment="1">
      <alignment horizontal="center"/>
    </xf>
    <xf numFmtId="0" fontId="78" fillId="4" borderId="1" xfId="0" applyFont="1" applyFill="1" applyBorder="1" applyAlignment="1">
      <alignment horizontal="left"/>
    </xf>
    <xf numFmtId="0" fontId="31" fillId="5" borderId="1" xfId="1" applyFont="1" applyFill="1" applyBorder="1" applyAlignment="1" applyProtection="1">
      <alignment horizontal="center"/>
    </xf>
    <xf numFmtId="0" fontId="31" fillId="4" borderId="1" xfId="0" applyFont="1" applyFill="1" applyBorder="1" applyAlignment="1">
      <alignment vertical="center" wrapText="1"/>
    </xf>
    <xf numFmtId="0" fontId="31" fillId="0" borderId="1" xfId="0" applyFont="1" applyBorder="1" applyAlignment="1">
      <alignment vertical="center"/>
    </xf>
    <xf numFmtId="0" fontId="31" fillId="4" borderId="1" xfId="0" applyFont="1" applyFill="1" applyBorder="1" applyAlignment="1">
      <alignment vertical="center"/>
    </xf>
    <xf numFmtId="0" fontId="52" fillId="4" borderId="1" xfId="0" applyFont="1" applyFill="1" applyBorder="1" applyAlignment="1">
      <alignment vertical="center"/>
    </xf>
    <xf numFmtId="0" fontId="31" fillId="4" borderId="2" xfId="0" applyFont="1" applyFill="1" applyBorder="1" applyAlignment="1">
      <alignment horizontal="left"/>
    </xf>
    <xf numFmtId="0" fontId="42" fillId="0" borderId="31" xfId="0" applyFont="1" applyBorder="1" applyAlignment="1"/>
    <xf numFmtId="16" fontId="30" fillId="0" borderId="31" xfId="0" applyNumberFormat="1" applyFont="1" applyBorder="1" applyAlignment="1"/>
    <xf numFmtId="0" fontId="30" fillId="0" borderId="31" xfId="0" applyFont="1" applyBorder="1" applyAlignment="1"/>
    <xf numFmtId="0" fontId="45" fillId="0" borderId="31" xfId="0" applyFont="1" applyBorder="1" applyAlignment="1"/>
    <xf numFmtId="0" fontId="42" fillId="0" borderId="0" xfId="0" applyFont="1" applyAlignment="1"/>
    <xf numFmtId="16" fontId="30" fillId="0" borderId="0" xfId="0" applyNumberFormat="1" applyFont="1" applyAlignment="1"/>
    <xf numFmtId="0" fontId="30" fillId="0" borderId="0" xfId="0" applyFont="1" applyAlignment="1"/>
    <xf numFmtId="0" fontId="45" fillId="0" borderId="0" xfId="0" applyFont="1" applyAlignment="1"/>
    <xf numFmtId="16" fontId="30" fillId="0" borderId="13" xfId="0" applyNumberFormat="1" applyFont="1" applyBorder="1" applyAlignment="1"/>
    <xf numFmtId="0" fontId="30" fillId="0" borderId="13" xfId="0" applyFont="1" applyBorder="1" applyAlignment="1"/>
    <xf numFmtId="0" fontId="45" fillId="0" borderId="25" xfId="0" applyFont="1" applyBorder="1" applyAlignment="1"/>
    <xf numFmtId="16" fontId="30" fillId="0" borderId="14" xfId="0" applyNumberFormat="1" applyFont="1" applyBorder="1" applyAlignment="1"/>
    <xf numFmtId="0" fontId="30" fillId="0" borderId="14" xfId="0" applyFont="1" applyBorder="1" applyAlignment="1"/>
    <xf numFmtId="0" fontId="45" fillId="0" borderId="26" xfId="0" applyFont="1" applyBorder="1" applyAlignment="1"/>
  </cellXfs>
  <cellStyles count="5">
    <cellStyle name="Hipervínculo" xfId="1" builtinId="8"/>
    <cellStyle name="Hyperlink" xfId="4" xr:uid="{00000000-0005-0000-0000-000001000000}"/>
    <cellStyle name="Normal" xfId="0" builtinId="0"/>
    <cellStyle name="Normal 2" xfId="2" xr:uid="{00000000-0005-0000-0000-000003000000}"/>
    <cellStyle name="Normal_Hoja1" xfId="3" xr:uid="{00000000-0005-0000-0000-000004000000}"/>
  </cellStyles>
  <dxfs count="2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5" tint="-0.499984740745262"/>
        <name val="Calibri"/>
        <scheme val="minor"/>
      </font>
      <numFmt numFmtId="0" formatCode="General"/>
      <alignment horizontal="center" textRotation="0" indent="0" justifyLastLine="0" shrinkToFit="0" readingOrder="0"/>
    </dxf>
    <dxf>
      <font>
        <b/>
        <i val="0"/>
        <strike val="0"/>
        <condense val="0"/>
        <extend val="0"/>
        <outline val="0"/>
        <shadow val="0"/>
        <u val="none"/>
        <vertAlign val="baseline"/>
        <sz val="11"/>
        <color theme="5" tint="-0.499984740745262"/>
        <name val="Calibri"/>
        <scheme val="minor"/>
      </font>
      <numFmt numFmtId="0" formatCode="General"/>
    </dxf>
    <dxf>
      <font>
        <b/>
      </font>
      <numFmt numFmtId="0" formatCode="General"/>
    </dxf>
    <dxf>
      <font>
        <b/>
      </font>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1"/>
        <color theme="5" tint="-0.499984740745262"/>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5" tint="-0.499984740745262"/>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5" tint="-0.499984740745262"/>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5" tint="-0.499984740745262"/>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8"/>
        <color theme="1"/>
        <name val="Arial"/>
        <family val="2"/>
        <scheme val="none"/>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8"/>
        <color rgb="FFFF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8"/>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9"/>
        <color theme="1"/>
        <name val="Calibri"/>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9" tint="-0.499984740745262"/>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9" tint="-0.499984740745262"/>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rgb="FFFF0000"/>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FF0000"/>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border outline="0">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font>
    </dxf>
    <dxf>
      <font>
        <b/>
      </font>
    </dxf>
    <dxf>
      <font>
        <b/>
      </font>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alignment horizontal="center" vertical="center" wrapText="1" readingOrder="0"/>
    </dxf>
    <dxf>
      <font>
        <b/>
      </font>
    </dxf>
    <dxf>
      <font>
        <b/>
      </font>
    </dxf>
    <dxf>
      <font>
        <b/>
      </font>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alignment horizontal="center" vertical="center" wrapText="1" readingOrder="0"/>
    </dxf>
    <dxf>
      <font>
        <b/>
      </font>
      <alignment horizontal="center" vertical="center" wrapText="1" readingOrder="0"/>
    </dxf>
    <dxf>
      <font>
        <b/>
      </font>
      <alignment horizontal="center" vertical="center" wrapText="1" readingOrder="0"/>
    </dxf>
    <dxf>
      <font>
        <b/>
      </font>
      <alignment horizontal="center" vertical="center" wrapText="1" readingOrder="0"/>
    </dxf>
    <dxf>
      <font>
        <b/>
      </font>
      <alignment horizontal="center" vertical="center" wrapText="1" readingOrder="0"/>
    </dxf>
    <dxf>
      <font>
        <b/>
      </font>
    </dxf>
    <dxf>
      <font>
        <b/>
      </font>
    </dxf>
    <dxf>
      <fill>
        <patternFill patternType="solid">
          <bgColor rgb="FFFFFF00"/>
        </patternFill>
      </fill>
    </dxf>
    <dxf>
      <fill>
        <patternFill patternType="solid">
          <bgColor rgb="FFFFFF00"/>
        </patternFill>
      </fill>
    </dxf>
  </dxfs>
  <tableStyles count="1" defaultTableStyle="TableStyleMedium2" defaultPivotStyle="PivotStyleLight16">
    <tableStyle name="Estilo de tabla 1" pivot="0" count="0" xr9:uid="{DA8FA9C6-0B7C-4741-8D2E-656793BAEF6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mpint" refreshedDate="44473.47226145833" createdVersion="1" refreshedVersion="4" recordCount="35" xr:uid="{00000000-000A-0000-FFFF-FFFF01000000}">
  <cacheSource type="worksheet">
    <worksheetSource name="Table1"/>
  </cacheSource>
  <cacheFields count="46">
    <cacheField name="ID" numFmtId="0">
      <sharedItems containsSemiMixedTypes="0" containsString="0" containsNumber="1" containsInteger="1" minValue="11" maxValue="45"/>
    </cacheField>
    <cacheField name="Hora de inicio" numFmtId="0">
      <sharedItems containsSemiMixedTypes="0" containsNonDate="0" containsDate="1" containsString="0" minDate="2021-06-16T14:25:13" maxDate="2021-07-20T13:15:57"/>
    </cacheField>
    <cacheField name="Hora de finalización" numFmtId="0">
      <sharedItems containsSemiMixedTypes="0" containsNonDate="0" containsDate="1" containsString="0" minDate="2021-06-16T14:27:18" maxDate="2021-07-20T13:20:20"/>
    </cacheField>
    <cacheField name="Correo electrónico" numFmtId="0">
      <sharedItems/>
    </cacheField>
    <cacheField name="Nombre" numFmtId="0">
      <sharedItems containsNonDate="0" containsString="0" containsBlank="1"/>
    </cacheField>
    <cacheField name="Language" numFmtId="0">
      <sharedItems/>
    </cacheField>
    <cacheField name="Select your country" numFmtId="0">
      <sharedItems count="10">
        <s v="Finland"/>
        <s v="France"/>
        <s v="Turkey"/>
        <s v="Portugal"/>
        <s v="Germany"/>
        <s v="Belgium"/>
        <s v="Poland"/>
        <s v="Sweden"/>
        <s v="Italy"/>
        <s v="Denmark"/>
      </sharedItems>
    </cacheField>
    <cacheField name="UNIVERSIDAD" numFmtId="0">
      <sharedItems count="35">
        <s v="University of Oulu (SF OULU 01)"/>
        <s v="Ecole Nationale Supérieure de l'Electronique et de ses Applications-ENSEA (F CERGY 01)"/>
        <s v="Centrale SUPELEC (F GIF-YVE 03)"/>
        <s v="Institut d'Optique Théorique et Appliquée (F ORSAY 02)"/>
        <s v="HEC (F JOUY-JO 02)"/>
        <s v="Namik Kemal University (TR TEKIRDAG 01)"/>
        <s v="Instituto Politécnico do Porto (P PORTO 05)"/>
        <s v="TUHH Technische Universität Hamburg-Harburg (D HAMBURG 03)"/>
        <s v="Université de Liège (B LIEGE 01)"/>
        <s v="Katholike Universiteit Leuven (B LEUVEN 01)"/>
        <s v="Cracow University of Technology- Politechnika Krakowska (PL KRAKOW 03)"/>
        <s v="RWTH - Aachen (D AACHEN 01)"/>
        <s v="South-Eastern Finland University of Applied Sciences XAMK (SF MIKKELI 06)"/>
        <s v="Friedrich-Alexander Universität FAU (D ERLANGE 01)"/>
        <s v="Lund Institute of Technology (S LUND 01)"/>
        <s v="Universiteit Gent (B GENT 01)"/>
        <s v="ISAE-SUPAERO (F TOULOUS 16)"/>
        <s v="Università La Sapienza (I ROMA 01)"/>
        <s v="Universität Ulm (D ULM 01)"/>
        <s v="Université de Lorraine (F NANCY 43)"/>
        <s v="Technical University of Denmark (DK LYNGBY 01)"/>
        <s v="Aalto University (School of Electrical Engineering) (SF ESPOO 12)"/>
        <s v="Universität Stuttgart (D STUTTGA 01)"/>
        <s v="Telecom Sud Paris (F EVRY 11)"/>
        <s v="Tampere University (SF TAMPERE 17)"/>
        <s v="École Nationale Supérieure d'Ingénieurs de Caen ENSICAEN  (F CAEN 05)"/>
        <s v="Telecom Paris (F PARIS 083)"/>
        <s v="Sorbonne Université (F PARIS 06)"/>
        <s v="Yildiz Technical University (TR ISTANBU 07)"/>
        <s v="Politecnico di Milano (I MILANO 02)"/>
        <s v="Central Lille (F LILLE 14)"/>
        <s v="Marmara Üniversitesi (TR ISTANBU 05)"/>
        <s v="Universitá degli Studi di Napoli Federico II (I NAPOLI 01)"/>
        <s v="Universität des Saarlandes (D SAARBRU 01)"/>
        <s v="Poznan University of Technology (PL POZNAN 02)"/>
      </sharedItems>
    </cacheField>
    <cacheField name="Nombre Universidad (OFERTA DE PLAZAS)" numFmtId="0">
      <sharedItems count="35">
        <s v="University of Oulu "/>
        <s v="Ecole Nationale Supérieure de l'Electronique et de ses Applications (ENSEA)"/>
        <s v="Centrale SUPELEC"/>
        <s v="Institut d'Optique Théorique et Appliquée"/>
        <s v="HEC"/>
        <s v="Namik Kemal University"/>
        <s v="Instituto Politécnico do Porto"/>
        <s v="Hamburg University of Technology"/>
        <s v="Université de Liège"/>
        <s v="Katholike Universiteit Leuven"/>
        <s v="Cracow University of Technology- Politechnika Krakowska"/>
        <s v="RWTH - Aachen"/>
        <s v="South-Eastern Finland University of Applied Sciences XAMK"/>
        <s v="Friedrich-Alexander Universität FAU"/>
        <s v="Lund Institute of Technology"/>
        <s v="Universiteit Gent"/>
        <s v="ISAE-SUPAERO"/>
        <s v="Università La Sapienza"/>
        <s v="Universität Ulm"/>
        <s v="Université de Lorraine - École des Mines de Nancy - Telecom Nancy"/>
        <s v="Technical University of Denmark"/>
        <s v="Aalto University - School of Electrical Engineering"/>
        <s v="Universität Stuttgart"/>
        <s v="Telecom Sud Paris"/>
        <s v="Tampere University "/>
        <s v="École Nationale Supérieure d'Ingénieurs de Caen ENSICAEN"/>
        <s v="Telecom Paris"/>
        <s v="Sorbonne Université"/>
        <s v="Yildiz Technical University"/>
        <s v="Politecnico di Milano"/>
        <s v="Centrale Lille"/>
        <s v="Marmara Üniversitesi"/>
        <s v="Universitá degli Studi di Napoli Federico II"/>
        <s v="Universität des Saarlandes"/>
        <s v="Poznan University of Technology"/>
      </sharedItems>
    </cacheField>
    <cacheField name="Código Erasmus" numFmtId="0">
      <sharedItems/>
    </cacheField>
    <cacheField name="Select the name of your University (Austria)" numFmtId="0">
      <sharedItems containsNonDate="0" containsString="0" containsBlank="1"/>
    </cacheField>
    <cacheField name="Select the name of your University (Belgium)" numFmtId="0">
      <sharedItems containsBlank="1"/>
    </cacheField>
    <cacheField name="Select the name of your University (Bulgary)" numFmtId="0">
      <sharedItems containsNonDate="0" containsString="0" containsBlank="1"/>
    </cacheField>
    <cacheField name="Select the name of your University (Czech Rep.)" numFmtId="0">
      <sharedItems containsNonDate="0" containsString="0" containsBlank="1"/>
    </cacheField>
    <cacheField name="Select the name of your University (Denmark)" numFmtId="0">
      <sharedItems containsBlank="1"/>
    </cacheField>
    <cacheField name="Select the name of your University (Finland)" numFmtId="0">
      <sharedItems containsBlank="1"/>
    </cacheField>
    <cacheField name="Select the name of your University (France)" numFmtId="0">
      <sharedItems containsBlank="1"/>
    </cacheField>
    <cacheField name="Select the name of your University (Germany)" numFmtId="0">
      <sharedItems containsBlank="1"/>
    </cacheField>
    <cacheField name="Select the name of your University (Greece)" numFmtId="0">
      <sharedItems containsNonDate="0" containsString="0" containsBlank="1"/>
    </cacheField>
    <cacheField name="Select the name of your University (Ireland)" numFmtId="0">
      <sharedItems containsNonDate="0" containsString="0" containsBlank="1"/>
    </cacheField>
    <cacheField name="Select the name of your University (Italy)" numFmtId="0">
      <sharedItems containsBlank="1"/>
    </cacheField>
    <cacheField name="Select the name of your University (Netherlands)" numFmtId="0">
      <sharedItems containsNonDate="0" containsString="0" containsBlank="1"/>
    </cacheField>
    <cacheField name="Select the name of your University (Norway)" numFmtId="0">
      <sharedItems containsNonDate="0" containsString="0" containsBlank="1"/>
    </cacheField>
    <cacheField name="Select the name of your University (North Macedonia)" numFmtId="0">
      <sharedItems containsNonDate="0" containsString="0" containsBlank="1"/>
    </cacheField>
    <cacheField name="Select the name of your University (Poland)" numFmtId="0">
      <sharedItems containsBlank="1"/>
    </cacheField>
    <cacheField name="Select the name of your University (Portugal)" numFmtId="0">
      <sharedItems containsBlank="1"/>
    </cacheField>
    <cacheField name="Select the name of your University (Romania)" numFmtId="0">
      <sharedItems containsNonDate="0" containsString="0" containsBlank="1"/>
    </cacheField>
    <cacheField name="Select the name of your University (Slovenia)" numFmtId="0">
      <sharedItems containsNonDate="0" containsString="0" containsBlank="1"/>
    </cacheField>
    <cacheField name="Select the name of your University (Sweden)" numFmtId="0">
      <sharedItems containsBlank="1"/>
    </cacheField>
    <cacheField name="Select the name of your University (Switzerland)" numFmtId="0">
      <sharedItems containsNonDate="0" containsString="0" containsBlank="1"/>
    </cacheField>
    <cacheField name="Select the name of your University (Turkey)" numFmtId="0">
      <sharedItems containsBlank="1"/>
    </cacheField>
    <cacheField name="Select the name of your University (UK)" numFmtId="0">
      <sharedItems containsNonDate="0" containsString="0" containsBlank="1"/>
    </cacheField>
    <cacheField name="Please, introduce the Erasmus Code for your University, if the one shown in the previous drop-up menu was incorrect" numFmtId="0">
      <sharedItems containsBlank="1"/>
    </cacheField>
    <cacheField name="Name/Surname of the International Office Coordinator of your University" numFmtId="0">
      <sharedItems count="35">
        <s v="jj"/>
        <s v="Céline CABRERA"/>
        <s v="Marc ZOLVER, Dean of International Relations at CentraleSupélec"/>
        <s v="Pierre BALADI"/>
        <s v="Iris Ritter"/>
        <s v="Hasan Selçuk ETİ"/>
        <s v="Carla Carneiro"/>
        <s v="Elvira Wilberg"/>
        <s v="Mrs. Dominique d'Arripe (Institutional Coordinator)"/>
        <s v="Pascale Conard"/>
        <s v="Daria Majka-Sitko"/>
        <s v="Dr.-Ing. Kerstin Jenkes"/>
        <s v="Eeva Virtanen"/>
        <s v="Bianca Köndgen"/>
        <s v="Andréa Tarlé Borgström"/>
        <s v="Geneviève Cochez"/>
        <s v="Evelyne Rebut"/>
        <s v="Maria Ester Scarano"/>
        <s v="Dr. Sabine Habermalz"/>
        <s v="Nathalie Fick"/>
        <s v="Astrid Marie Christiansen"/>
        <s v="Riikka Jääskeläinen"/>
        <s v="Katja Schuster"/>
        <s v="KATHERINE MAILLET"/>
        <s v="Katri Yli-Korpula (e.g. nominations and applications) / Faculty of Engineering and Natural Sciences (ENS)"/>
        <s v="Dr. Jean-Michel RUEFF"/>
        <s v="Catherine VAZZA"/>
        <s v="Aurore MONFLIER"/>
        <s v="Dr. Murat Turhan"/>
        <s v="Prof. Stefano Ronchi"/>
        <s v="Mathieu/Thomas de la Pintière"/>
        <s v="Nuri TINAZ"/>
        <s v="Fernanda Nicotera"/>
        <s v="Fabienne SAUNIER"/>
        <s v="Magdalena Zawirska-Wolniewicz"/>
      </sharedItems>
    </cacheField>
    <cacheField name="e-mail address of the International Office Coordinator" numFmtId="0">
      <sharedItems count="35">
        <s v="jj"/>
        <s v="ri@ensea.fr"/>
        <s v="marc.zolver@centralesupelec.fr"/>
        <s v="pierre.baladi@institutoptique.fr"/>
        <s v="ritter@hec.fr"/>
        <s v="hseti@nku.edu.tr"/>
        <s v="carlac@sc.ipp.pt"/>
        <s v="wilberg@tuhh.de"/>
        <s v="dominique.darripe@uliege.be"/>
        <s v="pascale.conard@kuleuven.be"/>
        <s v="dmajka-sitko@pk.edu.pl"/>
        <s v="international@fb6.rwth-aachen.de"/>
        <s v="eeva.virtanen@xamk.fi"/>
        <s v="erasmus@fau.de"/>
        <s v="andrea.tarle_borgstrom@lth.lu.se"/>
        <s v="genevieve.cochez@ugent.be"/>
        <s v="international@isae-supaero.fr"/>
        <s v="erasmus.sapienza@uniroma1.it"/>
        <s v="erasmus@uni-ulm.de"/>
        <s v="drie-mobilite-contact@univ-lorraine.fr"/>
        <s v="asmae@dtu.dk"/>
        <s v="riikka.jaaskelainen@aalto.fi"/>
        <s v="katja.schuster@ia.uni-stuttgart.de"/>
        <s v="international@telecom-sudparis.eu "/>
        <s v="katri.yli-korpula@tuni.fi; mobility.tau@tuni.fi"/>
        <s v="jean-michel.rueff@ensicaen.fr"/>
        <s v="catherine.vazza@telecom-paris.fr"/>
        <s v="aurore.monflier@sorbonne-universite.fr"/>
        <s v="turhan@yildiz.edu.tr"/>
        <s v="erasmus@polimi.it"/>
        <s v="direction.ria@centralelille.fr"/>
        <s v="nuri.tinaz@marmara.edu.tr"/>
        <s v="international@unina.it"/>
        <s v="f.saunier@io.uni-saarland.de"/>
        <s v="erasmus@put.poznan.pl"/>
      </sharedItems>
    </cacheField>
    <cacheField name="Your Name and Surname" numFmtId="0">
      <sharedItems count="35">
        <s v="uu"/>
        <s v="Eneko CHIPI"/>
        <s v="Carine MOROTTI DELORME"/>
        <s v="Pierre BALADI"/>
        <s v="Iris Ritter"/>
        <s v="Serkan Erdur"/>
        <s v="Alexandra Trincão"/>
        <s v="Elvira Wilberg"/>
        <s v="Christine REYNDERS"/>
        <s v="Pascale Conard"/>
        <s v="Joanna Bebak"/>
        <s v="Heike Hagena"/>
        <s v="Eeva Virtanen"/>
        <s v="Boryana Klinkova"/>
        <s v="Andréa Tarlé Borgström"/>
        <s v="Vanoutryve Ann"/>
        <s v="Corinne Garcia-Mac Cionnaith"/>
        <s v="Daniela Lo Tenero"/>
        <s v="Dr. Sabine Habermalz"/>
        <s v="Vanessa Nau"/>
        <s v="Astrid Marie Christiansen"/>
        <s v="Anita Bisi"/>
        <s v="Katja Schuster"/>
        <s v="PELE NATASA"/>
        <s v="Kaisu Kalliomäki (e.g. agreement renewal process) / Faculty of Engineering and Natural Sciences (ENS)"/>
        <s v="Ms. Pauline MORCEAU"/>
        <s v="Nicolas PROST"/>
        <s v="isabelle levisalles"/>
        <s v="Fatma Karaca Turhan"/>
        <s v="Isabella Bontempi"/>
        <s v="Mathieu Thomas de la Pintière"/>
        <s v="Ferhat ISIK"/>
        <s v="Marta Maciocia"/>
        <s v="Fabienne Saunier"/>
        <s v="Irena Szymanowska"/>
      </sharedItems>
    </cacheField>
    <cacheField name="Your function in the International Office" numFmtId="0">
      <sharedItems count="33">
        <s v="jj"/>
        <s v="Director of international relations"/>
        <s v="Head of Study Abroad Programmes and Coordinator for Spain"/>
        <s v="Head of International Relations"/>
        <s v="Director"/>
        <s v="Erasmus officer"/>
        <s v="Head of International of ISEP ( School of Engineering POrto Polytechnic)"/>
        <s v="International Officer (in charge of bilateral agreements)"/>
        <s v="Policy Advisor"/>
        <s v="Faculty Erasmus Coordinator at Faculty of  Electrical and Computer Engineering"/>
        <s v="Departmental Exchange Advisor"/>
        <s v="Institutional Erasmus Coordinator"/>
        <s v="Agreement Coordinator"/>
        <s v="International Coordinator"/>
        <s v="Faculty International Office"/>
        <s v="Head of International Partnerships"/>
        <s v="Faculty coordinator (in charge also for the agreement)"/>
        <s v="Erasmus+ Institutional Coordinator"/>
        <s v="International Coordinator Télécom Nancy"/>
        <s v="Institutional Erasmus+ Coordinator, International Partnership Manager"/>
        <s v="International Relations Manager at the Aalto University School of Electrical Engineering"/>
        <s v="Erasmus Institutional Coordinator"/>
        <s v="Responsible for development of International affairs"/>
        <s v="Coordinator"/>
        <s v="ERASMUS coordinator"/>
        <s v="International projects Manager"/>
        <s v="in charge of the Erasmus + Renewal agreement"/>
        <s v="Officer in charge of Inter Institutional Agreements (IIAs)"/>
        <s v="Inter-institutional Erasmus agreements with France, Spain and UK"/>
        <s v="Director of International and Academic Relations"/>
        <s v="Officer-Outgoing Students Office"/>
        <s v="IRO Officer"/>
        <s v="International Cooperation Specialist Erasmus+ Programme"/>
      </sharedItems>
    </cacheField>
    <cacheField name="Your e-mail address" numFmtId="0">
      <sharedItems count="35">
        <s v="jj"/>
        <s v="eneko.chipi@ensea.fr"/>
        <s v="carine.morotti-delorme@centralesupelec.fr"/>
        <s v="pierre.baladi@institutoptique.fr"/>
        <s v="ritter@hec.fr"/>
        <s v="serkanerdur@nku.edu.tr"/>
        <s v="relacoes.externas@isep.ipp.pt"/>
        <s v="wilberg@tuhh.de"/>
        <s v="christine.reynders@uliege.be"/>
        <s v="pascale.conard@kuleuven.be"/>
        <s v="dgrela@pk.edu.pl"/>
        <s v="international@fb6.rwth-aachen.de"/>
        <s v="eeva.virtanen@xamk.fi"/>
        <s v="erasmus@fau.de"/>
        <s v="andrea.tarle_borgstrom@lth.lu.se"/>
        <s v="ann.vanoutryve@ugent.be"/>
        <s v="corinne.garcia@isae-supaero.fr"/>
        <s v="erasmus-i3s@uniroma1.it"/>
        <s v="erasmus@uni-ulm.de"/>
        <s v="vanessa.nau@telecomnancy.eu"/>
        <s v="asmae@dtu.dk"/>
        <s v="anita.bisi@aalto.fi"/>
        <s v="katja.schuster@ia.uni-stuttgart.de"/>
        <s v="natasa.pele@telecom-sudparis.eu"/>
        <s v="kaisu.kalliomaki@tuni.fi; mobility.tau@tuni.fi"/>
        <s v="pauline.morceau@ensicaen.fr"/>
        <s v="nicolas.prost@telecom-paris.fr"/>
        <s v="isabelle.levisalles@sorbonne-universite.fr"/>
        <s v="bilateralagreements@yildiz.edu.tr"/>
        <s v="erasmus@polimi.it"/>
        <s v="direction.ria@centralelille.fr"/>
        <s v="erasmus@marmara.edu.tr"/>
        <s v="erasmus.agreements@unina.it"/>
        <s v="f.saunier@io.uni-saarland.de"/>
        <s v="outgoing@put.poznan.pl"/>
      </sharedItems>
    </cacheField>
    <cacheField name="Would you like to adjust the current number of slots?" numFmtId="0">
      <sharedItems count="3">
        <s v="Yes, we would like to decrease the current number of slots"/>
        <s v="No, no additional adjustment of the current number of slots is required"/>
        <s v="Yes, we would like to increase the current number of slots"/>
      </sharedItems>
    </cacheField>
    <cacheField name="Please, indicate an initial proposal with the number of students (slots) you would like to increase. We will contact you to fix the final number." numFmtId="0">
      <sharedItems containsBlank="1" count="9">
        <m/>
        <s v="Not increasing, but we suggest in future to use e.g. 4x5 insetad of 2x10, so semester spots in the agreements. "/>
        <s v="2 students for the double degree programme -1-Year masters (60 ECTS) can be taken at ETSIT-UPM:      - Master in Biomedical Engineering     - Master Universitario en Ciberseguridad     - Master in Signal Theory and Communications     - Master in Statistic"/>
        <s v="4x5 months "/>
        <s v="4 students for 1 semester each (= sum of 24 months) for each study field"/>
        <s v="4"/>
        <s v="4 for 24 months (4 x 6 months)"/>
        <s v="3x12 months"/>
        <s v="2"/>
      </sharedItems>
    </cacheField>
    <cacheField name="Please, indicate an initial proposal with the number of students (slots) you would like to decrease. We will contact you to fix the final number." numFmtId="0">
      <sharedItems containsBlank="1" count="4">
        <s v="1"/>
        <m/>
        <s v="0"/>
        <s v="We would like to cancel the agreement in Biomedical Engineering (Medical Diagnostic and Treatment)"/>
      </sharedItems>
    </cacheField>
    <cacheField name="We are interested in offering 3rd study cycle exchange. Would you agree to exchange students in this 3rd study cycle?" numFmtId="0">
      <sharedItems/>
    </cacheField>
    <cacheField name="Our current fields of study are:_x000a_- Electrical Engineering:      (714 Electronics and automation / 713 Electricity and energy)_x000a_- ICTs:                                  (611 Computer Use / 612 DB an..." numFmtId="0">
      <sharedItems/>
    </cacheField>
    <cacheField name="In which domains would you like to START a new student exchange program with ETS Telecomunicacion-UPM (Spain)? (several options are possible)" numFmtId="0">
      <sharedItems containsBlank="1"/>
    </cacheField>
    <cacheField name="Please, indicate an initial proposal with the number of students (slots) and months per each NEW field of study" numFmtId="0">
      <sharedItems containsBlank="1"/>
    </cacheField>
    <cacheField name="If you have any additional comments, please fill in the box"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
  <r>
    <n v="11"/>
    <d v="2021-06-16T14:25:13"/>
    <d v="2021-06-16T14:27:18"/>
    <s v="anonymous"/>
    <m/>
    <s v="Español (España, alfabetización internacional)"/>
    <x v="0"/>
    <x v="0"/>
    <x v="0"/>
    <s v="SF OULU 01"/>
    <m/>
    <m/>
    <m/>
    <m/>
    <m/>
    <s v="University of Oulu (SF OULU 01)"/>
    <m/>
    <m/>
    <m/>
    <m/>
    <m/>
    <m/>
    <m/>
    <m/>
    <m/>
    <m/>
    <m/>
    <m/>
    <m/>
    <m/>
    <m/>
    <m/>
    <s v="oulu"/>
    <x v="0"/>
    <x v="0"/>
    <x v="0"/>
    <x v="0"/>
    <x v="0"/>
    <x v="0"/>
    <x v="0"/>
    <x v="0"/>
    <s v="Yes"/>
    <s v="Yes"/>
    <s v="Computer Science (06);"/>
    <s v="2"/>
    <s v="lll"/>
  </r>
  <r>
    <n v="12"/>
    <d v="2021-06-17T08:31:23"/>
    <d v="2021-06-17T08:35:04"/>
    <s v="anonymous"/>
    <m/>
    <s v="Español (España, alfabetización internacional)"/>
    <x v="1"/>
    <x v="1"/>
    <x v="1"/>
    <s v="F CERGY 01"/>
    <m/>
    <m/>
    <m/>
    <m/>
    <m/>
    <m/>
    <s v="Ecole Nationale Supérieure de l'Electronique et de ses Applications-ENSEA (F CERGY 01)"/>
    <m/>
    <m/>
    <m/>
    <m/>
    <m/>
    <m/>
    <m/>
    <m/>
    <m/>
    <m/>
    <m/>
    <m/>
    <m/>
    <m/>
    <m/>
    <m/>
    <x v="1"/>
    <x v="1"/>
    <x v="1"/>
    <x v="1"/>
    <x v="1"/>
    <x v="1"/>
    <x v="0"/>
    <x v="1"/>
    <s v="Yes"/>
    <s v="No"/>
    <m/>
    <m/>
    <s v="We are delighted with our cooperation and would be glad and honoured to renew it in the same conditions. If necessary for your side, we are open to any modification. "/>
  </r>
  <r>
    <n v="13"/>
    <d v="2021-06-17T13:11:54"/>
    <d v="2021-06-17T13:21:48"/>
    <s v="anonymous"/>
    <m/>
    <s v="Español (España, alfabetización internacional)"/>
    <x v="1"/>
    <x v="2"/>
    <x v="2"/>
    <s v="F GIF-YVE 03"/>
    <m/>
    <m/>
    <m/>
    <m/>
    <m/>
    <m/>
    <s v="Centrale SUPELEC (F GIF-YVE 03)"/>
    <m/>
    <m/>
    <m/>
    <m/>
    <m/>
    <m/>
    <m/>
    <m/>
    <m/>
    <m/>
    <m/>
    <m/>
    <m/>
    <m/>
    <m/>
    <m/>
    <x v="2"/>
    <x v="2"/>
    <x v="2"/>
    <x v="2"/>
    <x v="2"/>
    <x v="1"/>
    <x v="0"/>
    <x v="1"/>
    <s v="No"/>
    <s v="No"/>
    <m/>
    <m/>
    <s v="Buenas tardes, me parece que le convenio de renovavión entre la UPM ETSIT y el grupo Ecole Centrale está tramitando y por lo tanto estamos al día con respecto a los campos de estudios ofertados. _x000a_Gracias. "/>
  </r>
  <r>
    <n v="14"/>
    <d v="2021-06-17T13:55:42"/>
    <d v="2021-06-17T13:58:26"/>
    <s v="anonymous"/>
    <m/>
    <s v="Español (España, alfabetización internacional)"/>
    <x v="1"/>
    <x v="3"/>
    <x v="3"/>
    <s v="F ORSAY 02"/>
    <m/>
    <m/>
    <m/>
    <m/>
    <m/>
    <m/>
    <s v="Institut d'Optique Théorique et Appliquée (F ORSAY 02)"/>
    <m/>
    <m/>
    <m/>
    <m/>
    <m/>
    <m/>
    <m/>
    <m/>
    <m/>
    <m/>
    <m/>
    <m/>
    <m/>
    <m/>
    <m/>
    <m/>
    <x v="3"/>
    <x v="3"/>
    <x v="3"/>
    <x v="3"/>
    <x v="3"/>
    <x v="1"/>
    <x v="0"/>
    <x v="1"/>
    <s v="Yes"/>
    <s v="No"/>
    <m/>
    <m/>
    <s v="Thanks for this initiative!_x000a_We are looking forward to continue our cooperation with UPM / ETSIT!"/>
  </r>
  <r>
    <n v="15"/>
    <d v="2021-06-17T13:58:14"/>
    <d v="2021-06-17T13:59:39"/>
    <s v="anonymous"/>
    <m/>
    <s v="Español (España, alfabetización internacional)"/>
    <x v="1"/>
    <x v="4"/>
    <x v="4"/>
    <s v="F JOUY-JO 02"/>
    <m/>
    <m/>
    <m/>
    <m/>
    <m/>
    <m/>
    <s v="HEC (F JOUY-JO 02)"/>
    <m/>
    <m/>
    <m/>
    <m/>
    <m/>
    <m/>
    <m/>
    <m/>
    <m/>
    <m/>
    <m/>
    <m/>
    <m/>
    <m/>
    <m/>
    <m/>
    <x v="4"/>
    <x v="4"/>
    <x v="4"/>
    <x v="4"/>
    <x v="4"/>
    <x v="1"/>
    <x v="0"/>
    <x v="1"/>
    <s v="No"/>
    <s v="No"/>
    <m/>
    <m/>
    <m/>
  </r>
  <r>
    <n v="16"/>
    <d v="2021-06-17T14:28:57"/>
    <d v="2021-06-17T14:32:10"/>
    <s v="anonymous"/>
    <m/>
    <s v="Español (España, alfabetización internacional)"/>
    <x v="2"/>
    <x v="5"/>
    <x v="5"/>
    <s v="TR TEKIRDAG 01"/>
    <m/>
    <m/>
    <m/>
    <m/>
    <m/>
    <m/>
    <m/>
    <m/>
    <m/>
    <m/>
    <m/>
    <m/>
    <m/>
    <m/>
    <m/>
    <m/>
    <m/>
    <m/>
    <m/>
    <m/>
    <s v="Namik Kemal University (TR TEKIRDAG 01)"/>
    <m/>
    <s v="TR TEKIRDA01"/>
    <x v="5"/>
    <x v="5"/>
    <x v="5"/>
    <x v="5"/>
    <x v="5"/>
    <x v="1"/>
    <x v="0"/>
    <x v="1"/>
    <s v="Yes"/>
    <s v="No"/>
    <m/>
    <m/>
    <m/>
  </r>
  <r>
    <n v="17"/>
    <d v="2021-06-17T15:45:30"/>
    <d v="2021-06-17T15:48:16"/>
    <s v="anonymous"/>
    <m/>
    <s v="Español (España, alfabetización internacional)"/>
    <x v="3"/>
    <x v="6"/>
    <x v="6"/>
    <s v="P PORTO 05"/>
    <m/>
    <m/>
    <m/>
    <m/>
    <m/>
    <m/>
    <m/>
    <m/>
    <m/>
    <m/>
    <m/>
    <m/>
    <m/>
    <m/>
    <m/>
    <s v="Instituto Politécnico do Porto (P PORTO 05)"/>
    <m/>
    <m/>
    <m/>
    <m/>
    <m/>
    <m/>
    <m/>
    <x v="6"/>
    <x v="6"/>
    <x v="6"/>
    <x v="6"/>
    <x v="6"/>
    <x v="1"/>
    <x v="0"/>
    <x v="1"/>
    <s v="No"/>
    <s v="No"/>
    <m/>
    <m/>
    <m/>
  </r>
  <r>
    <n v="18"/>
    <d v="2021-06-17T15:44:40"/>
    <d v="2021-06-17T15:49:14"/>
    <s v="anonymous"/>
    <m/>
    <s v="Español (España, alfabetización internacional)"/>
    <x v="4"/>
    <x v="7"/>
    <x v="7"/>
    <s v="D HAMBURG 03"/>
    <m/>
    <m/>
    <m/>
    <m/>
    <m/>
    <m/>
    <m/>
    <s v="TUHH Technische Universität Hamburg-Harburg (D HAMBURG 03)"/>
    <m/>
    <m/>
    <m/>
    <m/>
    <m/>
    <m/>
    <m/>
    <m/>
    <m/>
    <m/>
    <m/>
    <m/>
    <m/>
    <m/>
    <s v="The code is correct, but the name has changed to Technische Universität Hamburg"/>
    <x v="7"/>
    <x v="7"/>
    <x v="7"/>
    <x v="4"/>
    <x v="7"/>
    <x v="1"/>
    <x v="0"/>
    <x v="1"/>
    <s v="No"/>
    <s v="Yes"/>
    <s v="Computer Science (06);"/>
    <s v="2"/>
    <m/>
  </r>
  <r>
    <n v="19"/>
    <d v="2021-06-17T16:49:32"/>
    <d v="2021-06-17T16:53:43"/>
    <s v="anonymous"/>
    <m/>
    <s v="Español (España, alfabetización internacional)"/>
    <x v="5"/>
    <x v="8"/>
    <x v="8"/>
    <s v="B LIEGE 01"/>
    <m/>
    <s v="Université de Liège (B LIEGE 01)"/>
    <m/>
    <m/>
    <m/>
    <m/>
    <m/>
    <m/>
    <m/>
    <m/>
    <m/>
    <m/>
    <m/>
    <m/>
    <m/>
    <m/>
    <m/>
    <m/>
    <m/>
    <m/>
    <m/>
    <m/>
    <m/>
    <x v="8"/>
    <x v="8"/>
    <x v="8"/>
    <x v="7"/>
    <x v="8"/>
    <x v="1"/>
    <x v="0"/>
    <x v="1"/>
    <s v="No"/>
    <s v="No"/>
    <m/>
    <m/>
    <s v="We will use our in-house system to be connected to EWP. It will be ready during this winter. In the menatime, we can extend our agreement for one additional year without any formalities, and proceed with official renewal as soon as our tool is ready for e"/>
  </r>
  <r>
    <n v="20"/>
    <d v="2021-06-18T09:40:23"/>
    <d v="2021-06-18T09:44:33"/>
    <s v="anonymous"/>
    <m/>
    <s v="Español (España, alfabetización internacional)"/>
    <x v="5"/>
    <x v="9"/>
    <x v="9"/>
    <s v="B LEUVEN 01"/>
    <m/>
    <s v="Katholike Universiteit Leuven (B LEUVEN 01)"/>
    <m/>
    <m/>
    <m/>
    <m/>
    <m/>
    <m/>
    <m/>
    <m/>
    <m/>
    <m/>
    <m/>
    <m/>
    <m/>
    <m/>
    <m/>
    <m/>
    <m/>
    <m/>
    <m/>
    <m/>
    <s v="B LEUVEN "/>
    <x v="9"/>
    <x v="9"/>
    <x v="9"/>
    <x v="8"/>
    <x v="9"/>
    <x v="1"/>
    <x v="0"/>
    <x v="1"/>
    <s v="Yes"/>
    <s v="Yes"/>
    <s v="Energy Engineering (0713);"/>
    <s v="2 x 10 months"/>
    <s v="details of new agreement to be discussed"/>
  </r>
  <r>
    <n v="21"/>
    <d v="2021-06-18T10:47:59"/>
    <d v="2021-06-18T10:50:45"/>
    <s v="anonymous"/>
    <m/>
    <s v="Español (España, alfabetización internacional)"/>
    <x v="6"/>
    <x v="10"/>
    <x v="10"/>
    <s v="PL KRAKOW 03"/>
    <m/>
    <m/>
    <m/>
    <m/>
    <m/>
    <m/>
    <m/>
    <m/>
    <m/>
    <m/>
    <m/>
    <m/>
    <m/>
    <m/>
    <s v="Cracow University of Technology- Politechnika Krakowska (PL KRAKOW 03)"/>
    <m/>
    <m/>
    <m/>
    <m/>
    <m/>
    <m/>
    <m/>
    <s v="PL KRAKOW03"/>
    <x v="10"/>
    <x v="10"/>
    <x v="10"/>
    <x v="9"/>
    <x v="10"/>
    <x v="1"/>
    <x v="0"/>
    <x v="1"/>
    <s v="No"/>
    <s v="No"/>
    <m/>
    <m/>
    <m/>
  </r>
  <r>
    <n v="22"/>
    <d v="2021-06-18T11:17:51"/>
    <d v="2021-06-18T11:41:43"/>
    <s v="anonymous"/>
    <m/>
    <s v="Español (España, alfabetización internacional)"/>
    <x v="4"/>
    <x v="11"/>
    <x v="11"/>
    <s v="D AACHEN 01"/>
    <m/>
    <m/>
    <m/>
    <m/>
    <m/>
    <m/>
    <m/>
    <s v="RWTH - Aachen (D AACHEN 01)"/>
    <m/>
    <m/>
    <m/>
    <m/>
    <m/>
    <m/>
    <m/>
    <m/>
    <m/>
    <m/>
    <m/>
    <m/>
    <m/>
    <m/>
    <m/>
    <x v="11"/>
    <x v="11"/>
    <x v="11"/>
    <x v="10"/>
    <x v="11"/>
    <x v="1"/>
    <x v="0"/>
    <x v="1"/>
    <s v="No"/>
    <s v="No"/>
    <m/>
    <m/>
    <m/>
  </r>
  <r>
    <n v="23"/>
    <d v="2021-06-18T12:42:27"/>
    <d v="2021-06-18T12:47:37"/>
    <s v="anonymous"/>
    <m/>
    <s v="Español (España, alfabetización internacional)"/>
    <x v="0"/>
    <x v="12"/>
    <x v="12"/>
    <s v="SF MIKKELI 06"/>
    <m/>
    <m/>
    <m/>
    <m/>
    <m/>
    <s v="South-Eastern Finland University of Applied Sciences XAMK (SF MIKKELI 06)"/>
    <m/>
    <m/>
    <m/>
    <m/>
    <m/>
    <m/>
    <m/>
    <m/>
    <m/>
    <m/>
    <m/>
    <m/>
    <m/>
    <m/>
    <m/>
    <m/>
    <s v="SF MIKKELI07"/>
    <x v="12"/>
    <x v="12"/>
    <x v="12"/>
    <x v="11"/>
    <x v="12"/>
    <x v="1"/>
    <x v="0"/>
    <x v="1"/>
    <s v="No"/>
    <s v="No"/>
    <m/>
    <m/>
    <m/>
  </r>
  <r>
    <n v="24"/>
    <d v="2021-06-18T12:53:50"/>
    <d v="2021-06-18T12:58:14"/>
    <s v="anonymous"/>
    <m/>
    <s v="Español (España, alfabetización internacional)"/>
    <x v="4"/>
    <x v="13"/>
    <x v="13"/>
    <s v="D ERLANGE 01"/>
    <m/>
    <m/>
    <m/>
    <m/>
    <m/>
    <m/>
    <m/>
    <s v="Friedrich-Alexander Universität FAU (D ERLANGE 01)"/>
    <m/>
    <m/>
    <m/>
    <m/>
    <m/>
    <m/>
    <m/>
    <m/>
    <m/>
    <m/>
    <m/>
    <m/>
    <m/>
    <m/>
    <s v="D ERLANGE01"/>
    <x v="13"/>
    <x v="13"/>
    <x v="13"/>
    <x v="12"/>
    <x v="13"/>
    <x v="2"/>
    <x v="1"/>
    <x v="1"/>
    <s v="No"/>
    <s v="No"/>
    <m/>
    <m/>
    <m/>
  </r>
  <r>
    <n v="25"/>
    <d v="2021-06-18T13:11:28"/>
    <d v="2021-06-18T13:26:29"/>
    <s v="anonymous"/>
    <m/>
    <s v="Español (España, alfabetización internacional)"/>
    <x v="7"/>
    <x v="14"/>
    <x v="14"/>
    <s v="S LUND 01"/>
    <m/>
    <m/>
    <m/>
    <m/>
    <m/>
    <m/>
    <m/>
    <m/>
    <m/>
    <m/>
    <m/>
    <m/>
    <m/>
    <m/>
    <m/>
    <m/>
    <m/>
    <m/>
    <s v="Lund Institute of Technology (S LUND 01)"/>
    <m/>
    <m/>
    <m/>
    <s v="S LUND01"/>
    <x v="14"/>
    <x v="14"/>
    <x v="14"/>
    <x v="13"/>
    <x v="14"/>
    <x v="1"/>
    <x v="0"/>
    <x v="1"/>
    <s v="No"/>
    <s v="Yes"/>
    <s v=" Electrical Engineering (0714);Energy Engineering (0713);Computer Science (06);Biomedical Engineering (0914);"/>
    <s v="1 student per subject x 10 months. 4 student places in total (to LTH and to ETSIT). If possible we would  like to have flexibility in terms of student nomination in  subject areas."/>
    <m/>
  </r>
  <r>
    <n v="26"/>
    <d v="2021-06-18T14:20:34"/>
    <d v="2021-06-18T14:22:18"/>
    <s v="anonymous"/>
    <m/>
    <s v="Español (España, alfabetización internacional)"/>
    <x v="5"/>
    <x v="15"/>
    <x v="15"/>
    <s v="B GENT 01"/>
    <m/>
    <s v="Universiteit Gent (B GENT 01)"/>
    <m/>
    <m/>
    <m/>
    <m/>
    <m/>
    <m/>
    <m/>
    <m/>
    <m/>
    <m/>
    <m/>
    <m/>
    <m/>
    <m/>
    <m/>
    <m/>
    <m/>
    <m/>
    <m/>
    <m/>
    <m/>
    <x v="15"/>
    <x v="15"/>
    <x v="15"/>
    <x v="14"/>
    <x v="15"/>
    <x v="1"/>
    <x v="0"/>
    <x v="1"/>
    <s v="No"/>
    <s v="No"/>
    <m/>
    <m/>
    <m/>
  </r>
  <r>
    <n v="27"/>
    <d v="2021-06-18T15:54:48"/>
    <d v="2021-06-18T17:59:23"/>
    <s v="anonymous"/>
    <m/>
    <s v="Español (España, alfabetización internacional)"/>
    <x v="1"/>
    <x v="16"/>
    <x v="16"/>
    <s v="F TOULOUS 16"/>
    <m/>
    <m/>
    <m/>
    <m/>
    <m/>
    <m/>
    <s v="ISAE-SUPAERO (F TOULOUS 16)"/>
    <m/>
    <m/>
    <m/>
    <m/>
    <m/>
    <m/>
    <m/>
    <m/>
    <m/>
    <m/>
    <m/>
    <m/>
    <m/>
    <m/>
    <m/>
    <s v="F TOULOUS 16"/>
    <x v="16"/>
    <x v="16"/>
    <x v="16"/>
    <x v="15"/>
    <x v="16"/>
    <x v="2"/>
    <x v="2"/>
    <x v="1"/>
    <s v="No"/>
    <s v="Yes"/>
    <s v="Biomedical Engineering (0914);Computer Science (06);Energy Engineering (0713); Electrical Engineering (0714);"/>
    <s v="2 for 12 months"/>
    <s v="We would like to discuss the terms of the new Erasmus + agreement for both double degree and non-degree mobility"/>
  </r>
  <r>
    <n v="28"/>
    <d v="2021-06-21T10:38:19"/>
    <d v="2021-06-21T10:41:15"/>
    <s v="anonymous"/>
    <m/>
    <s v="Español (España, alfabetización internacional)"/>
    <x v="8"/>
    <x v="17"/>
    <x v="17"/>
    <s v="I ROMA 01"/>
    <m/>
    <m/>
    <m/>
    <m/>
    <m/>
    <m/>
    <m/>
    <m/>
    <m/>
    <m/>
    <s v="Università La Sapienza (I ROMA 01)"/>
    <m/>
    <m/>
    <m/>
    <m/>
    <m/>
    <m/>
    <m/>
    <m/>
    <m/>
    <m/>
    <m/>
    <m/>
    <x v="17"/>
    <x v="17"/>
    <x v="17"/>
    <x v="16"/>
    <x v="17"/>
    <x v="1"/>
    <x v="0"/>
    <x v="1"/>
    <s v="Yes"/>
    <s v="No"/>
    <m/>
    <m/>
    <m/>
  </r>
  <r>
    <n v="29"/>
    <d v="2021-06-21T14:16:39"/>
    <d v="2021-06-21T14:38:36"/>
    <s v="anonymous"/>
    <m/>
    <s v="Español (España, alfabetización internacional)"/>
    <x v="4"/>
    <x v="18"/>
    <x v="18"/>
    <s v="D ULM 01"/>
    <m/>
    <m/>
    <m/>
    <m/>
    <m/>
    <m/>
    <m/>
    <s v="Universität Ulm (D ULM 01)"/>
    <m/>
    <m/>
    <m/>
    <m/>
    <m/>
    <m/>
    <m/>
    <m/>
    <m/>
    <m/>
    <m/>
    <m/>
    <m/>
    <m/>
    <s v="D ULM01 "/>
    <x v="18"/>
    <x v="18"/>
    <x v="18"/>
    <x v="17"/>
    <x v="18"/>
    <x v="0"/>
    <x v="0"/>
    <x v="2"/>
    <s v="No"/>
    <s v="Yes"/>
    <s v="Computer Science (06);"/>
    <s v="2 students / 2nd cycle / 6 months each (IN &amp; OUT)"/>
    <s v="Our internal evaluation of our existing agreements is not yet completed. In view of the fact that we had only 1 mobility in our agreement in electrical engineering during the past 7 years, I have suggested to our department of engineering, not to extend i"/>
  </r>
  <r>
    <n v="30"/>
    <d v="2021-06-22T09:09:21"/>
    <d v="2021-06-22T09:15:09"/>
    <s v="anonymous"/>
    <m/>
    <s v="Español (España, alfabetización internacional)"/>
    <x v="1"/>
    <x v="19"/>
    <x v="19"/>
    <s v="F NANCY 43"/>
    <m/>
    <m/>
    <m/>
    <m/>
    <m/>
    <m/>
    <s v="Université de Lorraine (F NANCY 43)"/>
    <m/>
    <m/>
    <m/>
    <m/>
    <m/>
    <m/>
    <m/>
    <m/>
    <m/>
    <m/>
    <m/>
    <m/>
    <m/>
    <m/>
    <m/>
    <m/>
    <x v="19"/>
    <x v="19"/>
    <x v="19"/>
    <x v="18"/>
    <x v="19"/>
    <x v="1"/>
    <x v="0"/>
    <x v="1"/>
    <s v="No"/>
    <s v="No"/>
    <m/>
    <m/>
    <s v="There is one agreement for two French engineering schools that are part of the University of Lorraine: Mines Nancy and Télécom Nancy."/>
  </r>
  <r>
    <n v="31"/>
    <d v="2021-06-22T11:30:34"/>
    <d v="2021-06-22T11:46:58"/>
    <s v="anonymous"/>
    <m/>
    <s v="English (United Kingdom)‎"/>
    <x v="9"/>
    <x v="20"/>
    <x v="20"/>
    <s v="DK LYNGBY 01"/>
    <m/>
    <m/>
    <m/>
    <m/>
    <s v="Technical University of Denmark (DK LYNGBY 01)"/>
    <m/>
    <m/>
    <m/>
    <m/>
    <m/>
    <m/>
    <m/>
    <m/>
    <m/>
    <m/>
    <m/>
    <m/>
    <m/>
    <m/>
    <m/>
    <m/>
    <m/>
    <m/>
    <x v="20"/>
    <x v="20"/>
    <x v="20"/>
    <x v="19"/>
    <x v="20"/>
    <x v="2"/>
    <x v="3"/>
    <x v="1"/>
    <s v="No"/>
    <s v="Yes"/>
    <s v=" Electrical Engineering (0714);Energy Engineering (0713);Computer Science (06);Biomedical Engineering (0914);"/>
    <s v="We enter agreements on behalf on all DTU students. Incoming students at DTU can choose courses in all study areas. We wish for an agreement including all fields (University wide or School/Faculty wide if not central) - securing a maximum of flexibility fo"/>
    <s v="DTU students are nominated for 1 semester at a time. If your students prefer 1 year, we can agree on 4x5 months/2x10 months. We are open to suggestions. _x000a_DTU students apply for exchange centrally, just as all exchange agreements are made centrally. This m"/>
  </r>
  <r>
    <n v="32"/>
    <d v="2021-06-22T12:26:15"/>
    <d v="2021-06-22T12:59:32"/>
    <s v="anonymous"/>
    <m/>
    <s v="Español (España, alfabetización internacional)"/>
    <x v="0"/>
    <x v="21"/>
    <x v="21"/>
    <s v="SF ESPOO 12"/>
    <m/>
    <m/>
    <m/>
    <m/>
    <m/>
    <s v="Aalto University (School of Electrical Engineering) (SF ESPOO 12)"/>
    <m/>
    <m/>
    <m/>
    <m/>
    <m/>
    <m/>
    <m/>
    <m/>
    <m/>
    <m/>
    <m/>
    <m/>
    <m/>
    <m/>
    <m/>
    <m/>
    <m/>
    <x v="21"/>
    <x v="21"/>
    <x v="21"/>
    <x v="20"/>
    <x v="21"/>
    <x v="1"/>
    <x v="0"/>
    <x v="1"/>
    <s v="Yes"/>
    <s v="No"/>
    <m/>
    <m/>
    <m/>
  </r>
  <r>
    <n v="33"/>
    <d v="2021-06-22T13:30:45"/>
    <d v="2021-06-22T13:37:25"/>
    <s v="anonymous"/>
    <m/>
    <s v="Español (España, alfabetización internacional)"/>
    <x v="4"/>
    <x v="22"/>
    <x v="22"/>
    <s v="D STUTTGA 01"/>
    <m/>
    <m/>
    <m/>
    <m/>
    <m/>
    <m/>
    <m/>
    <s v="Universität Stuttgart (D STUTTGA 01)"/>
    <m/>
    <m/>
    <m/>
    <m/>
    <m/>
    <m/>
    <m/>
    <m/>
    <m/>
    <m/>
    <m/>
    <m/>
    <m/>
    <m/>
    <m/>
    <x v="22"/>
    <x v="22"/>
    <x v="22"/>
    <x v="21"/>
    <x v="22"/>
    <x v="2"/>
    <x v="4"/>
    <x v="1"/>
    <s v="Yes"/>
    <s v="No"/>
    <m/>
    <m/>
    <m/>
  </r>
  <r>
    <n v="34"/>
    <d v="2021-06-22T16:24:27"/>
    <d v="2021-06-22T16:29:26"/>
    <s v="anonymous"/>
    <m/>
    <s v="Español (España, alfabetización internacional)"/>
    <x v="1"/>
    <x v="23"/>
    <x v="23"/>
    <s v="F EVRY 11"/>
    <m/>
    <m/>
    <m/>
    <m/>
    <m/>
    <m/>
    <s v="Telecom Sud Paris (F EVRY 11)"/>
    <m/>
    <m/>
    <m/>
    <m/>
    <m/>
    <m/>
    <m/>
    <m/>
    <m/>
    <m/>
    <m/>
    <m/>
    <m/>
    <m/>
    <m/>
    <s v="E10074639"/>
    <x v="23"/>
    <x v="23"/>
    <x v="23"/>
    <x v="22"/>
    <x v="23"/>
    <x v="2"/>
    <x v="5"/>
    <x v="1"/>
    <s v="Yes"/>
    <s v="No"/>
    <m/>
    <m/>
    <s v="About the number of slots, the fields to be added or degree of cycle should be discussed please. _x000a__x000a_Thank you very much, kind regards_x000a_"/>
  </r>
  <r>
    <n v="35"/>
    <d v="2021-06-23T11:40:55"/>
    <d v="2021-06-23T12:09:19"/>
    <s v="anonymous"/>
    <m/>
    <s v="English (United Kingdom)‎"/>
    <x v="0"/>
    <x v="24"/>
    <x v="24"/>
    <s v="SF TAMPERE 17"/>
    <m/>
    <m/>
    <m/>
    <m/>
    <m/>
    <s v="Tampere University (SF TAMPERE 17)"/>
    <m/>
    <m/>
    <m/>
    <m/>
    <m/>
    <m/>
    <m/>
    <m/>
    <m/>
    <m/>
    <m/>
    <m/>
    <m/>
    <m/>
    <m/>
    <m/>
    <m/>
    <x v="24"/>
    <x v="24"/>
    <x v="24"/>
    <x v="23"/>
    <x v="24"/>
    <x v="1"/>
    <x v="0"/>
    <x v="1"/>
    <s v="No"/>
    <s v="No"/>
    <m/>
    <m/>
    <s v="I (Kaisu Kalliomäki / kaisu.kalliomaki@tuni.fi; mobility.tau@tuni.fi) will be in charge of the agreement renewal process in the Faculty of Engineering and Natural Sciences at Tampere University. We would be happy to continue the cooperation with ETSI Tele"/>
  </r>
  <r>
    <n v="36"/>
    <d v="2021-06-23T16:27:11"/>
    <d v="2021-06-23T16:51:58"/>
    <s v="anonymous"/>
    <m/>
    <s v="Español (España, alfabetización internacional)"/>
    <x v="1"/>
    <x v="25"/>
    <x v="25"/>
    <s v="F CAEN 05"/>
    <m/>
    <m/>
    <m/>
    <m/>
    <m/>
    <m/>
    <s v="École Nationale Supérieure d'Ingénieurs de Caen ENSICAEN  (F CAEN 05)"/>
    <m/>
    <m/>
    <m/>
    <m/>
    <m/>
    <m/>
    <m/>
    <m/>
    <m/>
    <m/>
    <m/>
    <m/>
    <m/>
    <m/>
    <m/>
    <s v="F CAEN 05"/>
    <x v="25"/>
    <x v="25"/>
    <x v="25"/>
    <x v="24"/>
    <x v="25"/>
    <x v="2"/>
    <x v="6"/>
    <x v="1"/>
    <s v="No"/>
    <s v="Yes"/>
    <s v=" Electrical Engineering (0714);Energy Engineering (0713);Computer Science (06);Biomedical Engineering (0914);"/>
    <s v="4x6 months"/>
    <m/>
  </r>
  <r>
    <n v="37"/>
    <d v="2021-06-24T14:23:47"/>
    <d v="2021-06-24T14:34:08"/>
    <s v="anonymous"/>
    <m/>
    <s v="Español (España, alfabetización internacional)"/>
    <x v="1"/>
    <x v="26"/>
    <x v="26"/>
    <s v="F PARIS 083"/>
    <m/>
    <m/>
    <m/>
    <m/>
    <m/>
    <m/>
    <s v="Telecom Paris (F PARIS 083)"/>
    <m/>
    <m/>
    <m/>
    <m/>
    <m/>
    <m/>
    <m/>
    <m/>
    <m/>
    <m/>
    <m/>
    <m/>
    <m/>
    <m/>
    <m/>
    <m/>
    <x v="26"/>
    <x v="26"/>
    <x v="26"/>
    <x v="25"/>
    <x v="26"/>
    <x v="2"/>
    <x v="7"/>
    <x v="1"/>
    <s v="No"/>
    <s v="No"/>
    <m/>
    <m/>
    <m/>
  </r>
  <r>
    <n v="38"/>
    <d v="2021-06-24T16:04:44"/>
    <d v="2021-06-24T16:10:37"/>
    <s v="anonymous"/>
    <m/>
    <s v="Español (España, alfabetización internacional)"/>
    <x v="1"/>
    <x v="27"/>
    <x v="27"/>
    <s v="F PARIS 06"/>
    <m/>
    <m/>
    <m/>
    <m/>
    <m/>
    <m/>
    <s v="Sorbonne Université (F PARIS 06)"/>
    <m/>
    <m/>
    <m/>
    <m/>
    <m/>
    <m/>
    <m/>
    <m/>
    <m/>
    <m/>
    <m/>
    <m/>
    <m/>
    <m/>
    <m/>
    <s v="F PARIS 468"/>
    <x v="27"/>
    <x v="27"/>
    <x v="27"/>
    <x v="26"/>
    <x v="27"/>
    <x v="1"/>
    <x v="0"/>
    <x v="1"/>
    <s v="No"/>
    <s v="No"/>
    <m/>
    <m/>
    <m/>
  </r>
  <r>
    <n v="39"/>
    <d v="2021-06-24T18:22:02"/>
    <d v="2021-06-24T18:43:45"/>
    <s v="anonymous"/>
    <m/>
    <s v="Español (España, alfabetización internacional)"/>
    <x v="2"/>
    <x v="28"/>
    <x v="28"/>
    <s v="TR ISTANBU 07"/>
    <m/>
    <m/>
    <m/>
    <m/>
    <m/>
    <m/>
    <m/>
    <m/>
    <m/>
    <m/>
    <m/>
    <m/>
    <m/>
    <m/>
    <m/>
    <m/>
    <m/>
    <m/>
    <m/>
    <m/>
    <s v="Yildiz Technical University (TR ISTANBU 07)"/>
    <m/>
    <m/>
    <x v="28"/>
    <x v="28"/>
    <x v="28"/>
    <x v="27"/>
    <x v="28"/>
    <x v="1"/>
    <x v="0"/>
    <x v="1"/>
    <s v="No"/>
    <s v="Yes"/>
    <s v=" Electrical Engineering (0714);Computer Science (06);"/>
    <s v="Science in Data Engineering and Systems: 4 studens X 5 months (undergrad) + 2 students X 10 months (Master Level). Electrical Engineering (open to negotiation at Undergraduate and Master Level)"/>
    <s v="We will move to EWP fully in July at the earliest. We are now waiting for KION to make the software ready to run. After that we will be ready for our agreements. In the meanwhile, if we are not visible on the system, please note that we will be there shor"/>
  </r>
  <r>
    <n v="40"/>
    <d v="2021-06-29T17:07:46"/>
    <d v="2021-06-29T17:17:01"/>
    <s v="anonymous"/>
    <m/>
    <s v="Español (España, alfabetización internacional)"/>
    <x v="8"/>
    <x v="29"/>
    <x v="29"/>
    <s v="I MILANO 02"/>
    <m/>
    <m/>
    <m/>
    <m/>
    <m/>
    <m/>
    <m/>
    <m/>
    <m/>
    <m/>
    <s v="Politecnico di Milano (I MILANO 02)"/>
    <m/>
    <m/>
    <m/>
    <m/>
    <m/>
    <m/>
    <m/>
    <m/>
    <m/>
    <m/>
    <m/>
    <m/>
    <x v="29"/>
    <x v="29"/>
    <x v="29"/>
    <x v="28"/>
    <x v="29"/>
    <x v="1"/>
    <x v="0"/>
    <x v="1"/>
    <s v="No"/>
    <s v="No"/>
    <m/>
    <m/>
    <s v="please note we already increased numbers with ETSIT to a total of 8 slots from 2021/22 (confirmed by e-mail and to be translated in digital form when we are both ready). All disciplines mentioned above are included as well as Elecrtonics and Mathematical "/>
  </r>
  <r>
    <n v="41"/>
    <d v="2021-06-30T15:22:52"/>
    <d v="2021-06-30T16:59:09"/>
    <s v="anonymous"/>
    <m/>
    <s v="Español (España, alfabetización internacional)"/>
    <x v="1"/>
    <x v="30"/>
    <x v="30"/>
    <s v="F LILLE 14"/>
    <m/>
    <m/>
    <m/>
    <m/>
    <m/>
    <m/>
    <s v="Central Lille (F LILLE 14)"/>
    <m/>
    <m/>
    <m/>
    <m/>
    <m/>
    <m/>
    <m/>
    <m/>
    <m/>
    <m/>
    <m/>
    <m/>
    <m/>
    <m/>
    <m/>
    <m/>
    <x v="30"/>
    <x v="30"/>
    <x v="30"/>
    <x v="29"/>
    <x v="30"/>
    <x v="1"/>
    <x v="0"/>
    <x v="1"/>
    <s v="No"/>
    <s v="Yes"/>
    <s v="Energy Engineering (0713);Computer Science (06);"/>
    <s v="1 student / 24 months"/>
    <m/>
  </r>
  <r>
    <n v="42"/>
    <d v="2021-07-01T10:26:06"/>
    <d v="2021-07-01T10:45:29"/>
    <s v="anonymous"/>
    <m/>
    <s v="Español (España, alfabetización internacional)"/>
    <x v="2"/>
    <x v="31"/>
    <x v="31"/>
    <s v="TR ISTANBU 05"/>
    <m/>
    <m/>
    <m/>
    <m/>
    <m/>
    <m/>
    <m/>
    <m/>
    <m/>
    <m/>
    <m/>
    <m/>
    <m/>
    <m/>
    <m/>
    <m/>
    <m/>
    <m/>
    <m/>
    <m/>
    <s v="Marmara Üniversitesi (TR ISTANBU 05)"/>
    <m/>
    <m/>
    <x v="31"/>
    <x v="31"/>
    <x v="31"/>
    <x v="30"/>
    <x v="31"/>
    <x v="1"/>
    <x v="0"/>
    <x v="1"/>
    <s v="No"/>
    <s v="No"/>
    <m/>
    <m/>
    <s v="Dear Colleagues, _x000a__x000a_Erasmus IIAs are initialized by faculty and departmental coordinators of the university autonomously. Therefore I could not speak on their behalf when it comes to expanding Erasmus IIAs to new fields. We are adamant about determining ex"/>
  </r>
  <r>
    <n v="43"/>
    <d v="2021-07-06T14:02:07"/>
    <d v="2021-07-06T14:04:00"/>
    <s v="anonymous"/>
    <m/>
    <s v="Español (España, alfabetización internacional)"/>
    <x v="8"/>
    <x v="32"/>
    <x v="32"/>
    <s v="I NAPOLI 01"/>
    <m/>
    <m/>
    <m/>
    <m/>
    <m/>
    <m/>
    <m/>
    <m/>
    <m/>
    <m/>
    <s v="Universitá degli Studi di Napoli Federico II (I NAPOLI 01)"/>
    <m/>
    <m/>
    <m/>
    <m/>
    <m/>
    <m/>
    <m/>
    <m/>
    <m/>
    <m/>
    <m/>
    <s v="INAPOLI01"/>
    <x v="32"/>
    <x v="32"/>
    <x v="32"/>
    <x v="31"/>
    <x v="32"/>
    <x v="1"/>
    <x v="0"/>
    <x v="1"/>
    <s v="No"/>
    <s v="No"/>
    <m/>
    <m/>
    <m/>
  </r>
  <r>
    <n v="44"/>
    <d v="2021-07-07T11:59:18"/>
    <d v="2021-07-07T12:04:05"/>
    <s v="anonymous"/>
    <m/>
    <s v="Español (España, alfabetización internacional)"/>
    <x v="4"/>
    <x v="33"/>
    <x v="33"/>
    <s v="D SAARBRU 01"/>
    <m/>
    <m/>
    <m/>
    <m/>
    <m/>
    <m/>
    <m/>
    <s v="Universität des Saarlandes (D SAARBRU 01)"/>
    <m/>
    <m/>
    <m/>
    <m/>
    <m/>
    <m/>
    <m/>
    <m/>
    <m/>
    <m/>
    <m/>
    <m/>
    <m/>
    <m/>
    <s v="D SAARBRU01"/>
    <x v="33"/>
    <x v="33"/>
    <x v="33"/>
    <x v="17"/>
    <x v="33"/>
    <x v="0"/>
    <x v="0"/>
    <x v="3"/>
    <s v="No"/>
    <s v="No"/>
    <m/>
    <m/>
    <s v="We would like to maintain the cooperation in Electrical Engineering and Computer AND delete the cooperation in Biomedical Engineering. Thank you"/>
  </r>
  <r>
    <n v="45"/>
    <d v="2021-07-20T13:15:57"/>
    <d v="2021-07-20T13:20:20"/>
    <s v="anonymous"/>
    <m/>
    <s v="Español (España, alfabetización internacional)"/>
    <x v="6"/>
    <x v="34"/>
    <x v="34"/>
    <s v="PL POZNAN 02"/>
    <m/>
    <m/>
    <m/>
    <m/>
    <m/>
    <m/>
    <m/>
    <m/>
    <m/>
    <m/>
    <m/>
    <m/>
    <m/>
    <m/>
    <s v="Poznan University of Technology (PL POZNAN 02)"/>
    <m/>
    <m/>
    <m/>
    <m/>
    <m/>
    <m/>
    <m/>
    <s v="PL POZNAN02"/>
    <x v="34"/>
    <x v="34"/>
    <x v="34"/>
    <x v="32"/>
    <x v="34"/>
    <x v="2"/>
    <x v="8"/>
    <x v="1"/>
    <s v="Yes"/>
    <s v="Yes"/>
    <s v=" Electrical Engineering (0714);Biomedical Engineering (0914);"/>
    <s v="2 students for 10 months each"/>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TablaDinámica2" cacheId="338" dataOnRows="1" applyNumberFormats="0" applyBorderFormats="0" applyFontFormats="0" applyPatternFormats="0" applyAlignmentFormats="0" applyWidthHeightFormats="1" dataCaption="Datos" updatedVersion="6" showDrill="0" showMemberPropertyTips="0" itemPrintTitles="1" createdVersion="1" indent="0" compact="0" compactData="0" gridDropZones="1">
  <location ref="J1:O41" firstHeaderRow="2" firstDataRow="2" firstDataCol="5"/>
  <pivotFields count="46">
    <pivotField compact="0" outline="0" subtotalTop="0" showAll="0" includeNewItemsInFilter="1"/>
    <pivotField compact="0" numFmtId="164" outline="0" subtotalTop="0" showAll="0" includeNewItemsInFilter="1"/>
    <pivotField compact="0" numFmtId="16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defaultSubtotal="0">
      <items count="10">
        <item x="5"/>
        <item x="9"/>
        <item x="0"/>
        <item x="1"/>
        <item x="4"/>
        <item x="8"/>
        <item x="6"/>
        <item x="3"/>
        <item x="7"/>
        <item x="2"/>
      </items>
    </pivotField>
    <pivotField dataField="1" compact="0" outline="0" subtotalTop="0" showAll="0" includeNewItemsInFilter="1" defaultSubtotal="0">
      <items count="35">
        <item x="21"/>
        <item x="30"/>
        <item x="2"/>
        <item x="10"/>
        <item x="1"/>
        <item x="25"/>
        <item x="13"/>
        <item x="4"/>
        <item x="3"/>
        <item x="6"/>
        <item x="16"/>
        <item x="9"/>
        <item x="14"/>
        <item x="31"/>
        <item x="5"/>
        <item x="29"/>
        <item x="34"/>
        <item x="11"/>
        <item x="27"/>
        <item x="12"/>
        <item x="24"/>
        <item x="20"/>
        <item x="26"/>
        <item x="23"/>
        <item x="7"/>
        <item x="32"/>
        <item x="17"/>
        <item x="33"/>
        <item x="22"/>
        <item x="18"/>
        <item x="8"/>
        <item x="19"/>
        <item x="15"/>
        <item x="0"/>
        <item x="28"/>
      </items>
    </pivotField>
    <pivotField axis="axisRow" compact="0" outline="0" subtotalTop="0" showAll="0" includeNewItemsInFilter="1" defaultSubtotal="0">
      <items count="35">
        <item x="21"/>
        <item x="30"/>
        <item x="2"/>
        <item x="10"/>
        <item x="1"/>
        <item x="25"/>
        <item x="13"/>
        <item x="7"/>
        <item x="4"/>
        <item x="3"/>
        <item x="6"/>
        <item x="16"/>
        <item x="9"/>
        <item x="14"/>
        <item x="31"/>
        <item x="5"/>
        <item x="29"/>
        <item x="34"/>
        <item x="11"/>
        <item x="27"/>
        <item x="12"/>
        <item x="24"/>
        <item x="20"/>
        <item x="26"/>
        <item x="23"/>
        <item x="32"/>
        <item x="17"/>
        <item x="33"/>
        <item x="22"/>
        <item x="18"/>
        <item x="8"/>
        <item x="19"/>
        <item x="15"/>
        <item x="0"/>
        <item x="28"/>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35">
        <item x="14"/>
        <item x="20"/>
        <item x="27"/>
        <item x="13"/>
        <item x="6"/>
        <item x="26"/>
        <item x="1"/>
        <item x="10"/>
        <item x="25"/>
        <item x="28"/>
        <item x="18"/>
        <item x="11"/>
        <item x="12"/>
        <item x="7"/>
        <item x="16"/>
        <item x="33"/>
        <item x="32"/>
        <item x="15"/>
        <item x="5"/>
        <item x="4"/>
        <item x="0"/>
        <item x="23"/>
        <item x="22"/>
        <item x="24"/>
        <item x="34"/>
        <item x="2"/>
        <item x="17"/>
        <item x="30"/>
        <item x="8"/>
        <item x="19"/>
        <item x="31"/>
        <item x="9"/>
        <item x="3"/>
        <item x="29"/>
        <item x="21"/>
      </items>
    </pivotField>
    <pivotField compact="0" outline="0" subtotalTop="0" showAll="0" includeNewItemsInFilter="1" defaultSubtotal="0">
      <items count="35">
        <item x="14"/>
        <item x="20"/>
        <item x="27"/>
        <item x="6"/>
        <item x="26"/>
        <item x="30"/>
        <item x="10"/>
        <item x="8"/>
        <item x="19"/>
        <item x="12"/>
        <item x="17"/>
        <item x="13"/>
        <item x="29"/>
        <item x="34"/>
        <item x="18"/>
        <item x="33"/>
        <item x="15"/>
        <item x="5"/>
        <item x="11"/>
        <item x="16"/>
        <item x="23"/>
        <item x="32"/>
        <item x="25"/>
        <item x="0"/>
        <item x="22"/>
        <item x="24"/>
        <item x="2"/>
        <item x="31"/>
        <item x="9"/>
        <item x="3"/>
        <item x="1"/>
        <item x="21"/>
        <item x="4"/>
        <item x="28"/>
        <item x="7"/>
      </items>
    </pivotField>
    <pivotField compact="0" outline="0" subtotalTop="0" showAll="0" includeNewItemsInFilter="1" defaultSubtotal="0">
      <items count="35">
        <item x="6"/>
        <item x="14"/>
        <item x="21"/>
        <item x="20"/>
        <item x="13"/>
        <item x="2"/>
        <item x="8"/>
        <item x="16"/>
        <item x="17"/>
        <item x="18"/>
        <item x="12"/>
        <item x="7"/>
        <item x="1"/>
        <item x="33"/>
        <item x="28"/>
        <item x="31"/>
        <item x="11"/>
        <item x="34"/>
        <item x="4"/>
        <item x="29"/>
        <item x="27"/>
        <item x="10"/>
        <item x="24"/>
        <item x="22"/>
        <item x="32"/>
        <item x="30"/>
        <item x="25"/>
        <item x="26"/>
        <item x="9"/>
        <item x="23"/>
        <item x="3"/>
        <item x="5"/>
        <item x="0"/>
        <item x="19"/>
        <item x="15"/>
      </items>
    </pivotField>
    <pivotField compact="0" outline="0" subtotalTop="0" showAll="0" includeNewItemsInFilter="1" defaultSubtotal="0">
      <items count="33">
        <item x="12"/>
        <item x="23"/>
        <item x="10"/>
        <item x="4"/>
        <item x="29"/>
        <item x="1"/>
        <item x="24"/>
        <item x="21"/>
        <item x="5"/>
        <item x="17"/>
        <item x="16"/>
        <item x="9"/>
        <item x="14"/>
        <item x="6"/>
        <item x="15"/>
        <item x="3"/>
        <item x="2"/>
        <item x="26"/>
        <item x="11"/>
        <item x="19"/>
        <item x="28"/>
        <item x="32"/>
        <item x="13"/>
        <item x="18"/>
        <item x="7"/>
        <item x="25"/>
        <item x="20"/>
        <item x="31"/>
        <item x="0"/>
        <item x="27"/>
        <item x="30"/>
        <item x="8"/>
        <item x="22"/>
      </items>
    </pivotField>
    <pivotField compact="0" outline="0" subtotalTop="0" showAll="0" includeNewItemsInFilter="1" defaultSubtotal="0">
      <items count="35">
        <item x="14"/>
        <item x="21"/>
        <item x="15"/>
        <item x="20"/>
        <item x="28"/>
        <item x="2"/>
        <item x="8"/>
        <item x="16"/>
        <item x="10"/>
        <item x="30"/>
        <item x="12"/>
        <item x="1"/>
        <item x="32"/>
        <item x="13"/>
        <item x="31"/>
        <item x="29"/>
        <item x="18"/>
        <item x="17"/>
        <item x="33"/>
        <item x="11"/>
        <item x="27"/>
        <item x="0"/>
        <item x="24"/>
        <item x="22"/>
        <item x="23"/>
        <item x="26"/>
        <item x="34"/>
        <item x="9"/>
        <item x="25"/>
        <item x="3"/>
        <item x="6"/>
        <item x="4"/>
        <item x="5"/>
        <item x="19"/>
        <item x="7"/>
      </items>
    </pivotField>
    <pivotField axis="axisRow" compact="0" outline="0" subtotalTop="0" showAll="0" includeNewItemsInFilter="1">
      <items count="4">
        <item x="1"/>
        <item x="0"/>
        <item x="2"/>
        <item t="default"/>
      </items>
    </pivotField>
    <pivotField axis="axisRow" compact="0" outline="0" subtotalTop="0" showAll="0" includeNewItemsInFilter="1" defaultSubtotal="0">
      <items count="9">
        <item x="8"/>
        <item x="2"/>
        <item x="7"/>
        <item x="5"/>
        <item x="6"/>
        <item x="4"/>
        <item x="3"/>
        <item x="1"/>
        <item x="0"/>
      </items>
    </pivotField>
    <pivotField axis="axisRow" compact="0" outline="0" subtotalTop="0" showAll="0" includeNewItemsInFilter="1" defaultSubtotal="0">
      <items count="4">
        <item x="2"/>
        <item x="0"/>
        <item x="3"/>
        <item x="1"/>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5">
    <field x="38"/>
    <field x="39"/>
    <field x="40"/>
    <field x="8"/>
    <field x="6"/>
  </rowFields>
  <rowItems count="39">
    <i>
      <x/>
      <x v="8"/>
      <x v="3"/>
      <x/>
      <x v="2"/>
    </i>
    <i r="3">
      <x v="1"/>
      <x v="3"/>
    </i>
    <i r="3">
      <x v="2"/>
      <x v="3"/>
    </i>
    <i r="3">
      <x v="3"/>
      <x v="6"/>
    </i>
    <i r="3">
      <x v="4"/>
      <x v="3"/>
    </i>
    <i r="3">
      <x v="7"/>
      <x v="4"/>
    </i>
    <i r="3">
      <x v="8"/>
      <x v="3"/>
    </i>
    <i r="3">
      <x v="9"/>
      <x v="3"/>
    </i>
    <i r="3">
      <x v="10"/>
      <x v="7"/>
    </i>
    <i r="3">
      <x v="12"/>
      <x/>
    </i>
    <i r="3">
      <x v="13"/>
      <x v="8"/>
    </i>
    <i r="3">
      <x v="14"/>
      <x v="9"/>
    </i>
    <i r="3">
      <x v="15"/>
      <x v="9"/>
    </i>
    <i r="3">
      <x v="16"/>
      <x v="5"/>
    </i>
    <i r="3">
      <x v="18"/>
      <x v="4"/>
    </i>
    <i r="3">
      <x v="19"/>
      <x v="3"/>
    </i>
    <i r="3">
      <x v="20"/>
      <x v="2"/>
    </i>
    <i r="3">
      <x v="21"/>
      <x v="2"/>
    </i>
    <i r="3">
      <x v="25"/>
      <x v="5"/>
    </i>
    <i r="3">
      <x v="26"/>
      <x v="5"/>
    </i>
    <i r="3">
      <x v="30"/>
      <x/>
    </i>
    <i r="3">
      <x v="31"/>
      <x v="3"/>
    </i>
    <i r="3">
      <x v="32"/>
      <x/>
    </i>
    <i r="3">
      <x v="34"/>
      <x v="9"/>
    </i>
    <i t="default">
      <x/>
    </i>
    <i>
      <x v="1"/>
      <x v="8"/>
      <x/>
      <x v="29"/>
      <x v="4"/>
    </i>
    <i r="2">
      <x v="1"/>
      <x v="33"/>
      <x v="2"/>
    </i>
    <i r="2">
      <x v="2"/>
      <x v="27"/>
      <x v="4"/>
    </i>
    <i t="default">
      <x v="1"/>
    </i>
    <i>
      <x v="2"/>
      <x/>
      <x v="3"/>
      <x v="17"/>
      <x v="6"/>
    </i>
    <i r="1">
      <x v="1"/>
      <x v="3"/>
      <x v="11"/>
      <x v="3"/>
    </i>
    <i r="1">
      <x v="2"/>
      <x v="3"/>
      <x v="23"/>
      <x v="3"/>
    </i>
    <i r="1">
      <x v="3"/>
      <x v="3"/>
      <x v="24"/>
      <x v="3"/>
    </i>
    <i r="1">
      <x v="4"/>
      <x v="3"/>
      <x v="5"/>
      <x v="3"/>
    </i>
    <i r="1">
      <x v="5"/>
      <x v="3"/>
      <x v="28"/>
      <x v="4"/>
    </i>
    <i r="1">
      <x v="6"/>
      <x v="3"/>
      <x v="22"/>
      <x v="1"/>
    </i>
    <i r="1">
      <x v="7"/>
      <x v="3"/>
      <x v="6"/>
      <x v="4"/>
    </i>
    <i t="default">
      <x v="2"/>
    </i>
    <i t="grand">
      <x/>
    </i>
  </rowItems>
  <colItems count="1">
    <i/>
  </colItems>
  <dataFields count="1">
    <dataField name="Cuenta de UNIVERSIDAD" fld="7" subtotal="count" baseField="0" baseItem="0"/>
  </dataFields>
  <formats count="39">
    <format dxfId="199">
      <pivotArea dataOnly="0" labelOnly="1" outline="0" fieldPosition="0">
        <references count="1">
          <reference field="6" count="0"/>
        </references>
      </pivotArea>
    </format>
    <format dxfId="200">
      <pivotArea field="6" type="button" dataOnly="0" labelOnly="1" outline="0" axis="axisRow" fieldPosition="4"/>
    </format>
    <format dxfId="201">
      <pivotArea field="7" type="button" dataOnly="0" labelOnly="1" outline="0"/>
    </format>
    <format dxfId="202">
      <pivotArea field="33" type="button" dataOnly="0" labelOnly="1" outline="0"/>
    </format>
    <format dxfId="203">
      <pivotArea field="34" type="button" dataOnly="0" labelOnly="1" outline="0"/>
    </format>
    <format dxfId="204">
      <pivotArea field="35" type="button" dataOnly="0" labelOnly="1" outline="0"/>
    </format>
    <format dxfId="205">
      <pivotArea field="36" type="button" dataOnly="0" labelOnly="1" outline="0"/>
    </format>
    <format dxfId="206">
      <pivotArea field="37" type="button" dataOnly="0" labelOnly="1" outline="0"/>
    </format>
    <format dxfId="207">
      <pivotArea field="6" type="button" dataOnly="0" labelOnly="1" outline="0" axis="axisRow" fieldPosition="4"/>
    </format>
    <format dxfId="208">
      <pivotArea field="7" type="button" dataOnly="0" labelOnly="1" outline="0"/>
    </format>
    <format dxfId="209">
      <pivotArea field="33" type="button" dataOnly="0" labelOnly="1" outline="0"/>
    </format>
    <format dxfId="210">
      <pivotArea field="34" type="button" dataOnly="0" labelOnly="1" outline="0"/>
    </format>
    <format dxfId="211">
      <pivotArea field="35" type="button" dataOnly="0" labelOnly="1" outline="0"/>
    </format>
    <format dxfId="212">
      <pivotArea field="36" type="button" dataOnly="0" labelOnly="1" outline="0"/>
    </format>
    <format dxfId="213">
      <pivotArea field="37" type="button" dataOnly="0" labelOnly="1" outline="0"/>
    </format>
    <format dxfId="214">
      <pivotArea dataOnly="0" outline="0" fieldPosition="0">
        <references count="1">
          <reference field="6" count="0" defaultSubtotal="1"/>
        </references>
      </pivotArea>
    </format>
    <format dxfId="215">
      <pivotArea field="6" type="button" dataOnly="0" labelOnly="1" outline="0" axis="axisRow" fieldPosition="4"/>
    </format>
    <format dxfId="216">
      <pivotArea field="7" type="button" dataOnly="0" labelOnly="1" outline="0"/>
    </format>
    <format dxfId="217">
      <pivotArea field="33" type="button" dataOnly="0" labelOnly="1" outline="0"/>
    </format>
    <format dxfId="218">
      <pivotArea field="34" type="button" dataOnly="0" labelOnly="1" outline="0"/>
    </format>
    <format dxfId="219">
      <pivotArea field="35" type="button" dataOnly="0" labelOnly="1" outline="0"/>
    </format>
    <format dxfId="220">
      <pivotArea field="36" type="button" dataOnly="0" labelOnly="1" outline="0"/>
    </format>
    <format dxfId="221">
      <pivotArea field="37" type="button" dataOnly="0" labelOnly="1" outline="0"/>
    </format>
    <format dxfId="222">
      <pivotArea field="6" type="button" dataOnly="0" labelOnly="1" outline="0" axis="axisRow" fieldPosition="4"/>
    </format>
    <format dxfId="223">
      <pivotArea field="7" type="button" dataOnly="0" labelOnly="1" outline="0"/>
    </format>
    <format dxfId="224">
      <pivotArea field="33" type="button" dataOnly="0" labelOnly="1" outline="0"/>
    </format>
    <format dxfId="225">
      <pivotArea field="34" type="button" dataOnly="0" labelOnly="1" outline="0"/>
    </format>
    <format dxfId="226">
      <pivotArea field="35" type="button" dataOnly="0" labelOnly="1" outline="0"/>
    </format>
    <format dxfId="227">
      <pivotArea field="36" type="button" dataOnly="0" labelOnly="1" outline="0"/>
    </format>
    <format dxfId="228">
      <pivotArea field="37" type="button" dataOnly="0" labelOnly="1" outline="0"/>
    </format>
    <format dxfId="229">
      <pivotArea field="38" type="button" dataOnly="0" labelOnly="1" outline="0" axis="axisRow" fieldPosition="0"/>
    </format>
    <format dxfId="230">
      <pivotArea field="39" type="button" dataOnly="0" labelOnly="1" outline="0" axis="axisRow" fieldPosition="1"/>
    </format>
    <format dxfId="231">
      <pivotArea field="40" type="button" dataOnly="0" labelOnly="1" outline="0" axis="axisRow" fieldPosition="2"/>
    </format>
    <format dxfId="232">
      <pivotArea field="8" type="button" dataOnly="0" labelOnly="1" outline="0" axis="axisRow" fieldPosition="3"/>
    </format>
    <format dxfId="233">
      <pivotArea field="6" type="button" dataOnly="0" labelOnly="1" outline="0" axis="axisRow" fieldPosition="4"/>
    </format>
    <format dxfId="234">
      <pivotArea dataOnly="0" labelOnly="1" outline="0" fieldPosition="0">
        <references count="1">
          <reference field="38" count="0"/>
        </references>
      </pivotArea>
    </format>
    <format dxfId="235">
      <pivotArea dataOnly="0" labelOnly="1" outline="0" fieldPosition="0">
        <references count="1">
          <reference field="8" count="0"/>
        </references>
      </pivotArea>
    </format>
    <format dxfId="236">
      <pivotArea dataOnly="0" labelOnly="1" outline="0" fieldPosition="0">
        <references count="3">
          <reference field="38" count="1" selected="0">
            <x v="1"/>
          </reference>
          <reference field="39" count="1" selected="0">
            <x v="8"/>
          </reference>
          <reference field="40" count="1">
            <x v="0"/>
          </reference>
        </references>
      </pivotArea>
    </format>
    <format dxfId="237">
      <pivotArea dataOnly="0" labelOnly="1" outline="0" fieldPosition="0">
        <references count="3">
          <reference field="38" count="1" selected="0">
            <x v="1"/>
          </reference>
          <reference field="39" count="1" selected="0">
            <x v="8"/>
          </reference>
          <reference field="40" count="1">
            <x v="2"/>
          </reference>
        </references>
      </pivotArea>
    </format>
  </formats>
  <pivotTableStyleInfo name="PivotStyleMedium3"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ablaDinámica1" cacheId="338" dataOnRows="1" applyNumberFormats="0" applyBorderFormats="0" applyFontFormats="0" applyPatternFormats="0" applyAlignmentFormats="0" applyWidthHeightFormats="1" dataCaption="Datos" updatedVersion="6" showDrill="0" showMemberPropertyTips="0" itemPrintTitles="1" createdVersion="1" indent="0" compact="0" compactData="0" gridDropZones="1">
  <location ref="A1:H48" firstHeaderRow="2" firstDataRow="2" firstDataCol="7"/>
  <pivotFields count="46">
    <pivotField compact="0" outline="0" subtotalTop="0" showAll="0" includeNewItemsInFilter="1"/>
    <pivotField compact="0" numFmtId="164" outline="0" subtotalTop="0" showAll="0" includeNewItemsInFilter="1"/>
    <pivotField compact="0" numFmtId="16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11">
        <item x="5"/>
        <item x="9"/>
        <item x="0"/>
        <item x="1"/>
        <item x="4"/>
        <item x="8"/>
        <item x="6"/>
        <item x="3"/>
        <item x="7"/>
        <item x="2"/>
        <item t="default"/>
      </items>
    </pivotField>
    <pivotField dataField="1" compact="0" outline="0" subtotalTop="0" showAll="0" includeNewItemsInFilter="1" defaultSubtotal="0">
      <items count="35">
        <item x="21"/>
        <item x="30"/>
        <item x="2"/>
        <item x="10"/>
        <item x="1"/>
        <item x="25"/>
        <item x="13"/>
        <item x="4"/>
        <item x="3"/>
        <item x="6"/>
        <item x="16"/>
        <item x="9"/>
        <item x="14"/>
        <item x="31"/>
        <item x="5"/>
        <item x="29"/>
        <item x="34"/>
        <item x="11"/>
        <item x="27"/>
        <item x="12"/>
        <item x="24"/>
        <item x="20"/>
        <item x="26"/>
        <item x="23"/>
        <item x="7"/>
        <item x="32"/>
        <item x="17"/>
        <item x="33"/>
        <item x="22"/>
        <item x="18"/>
        <item x="8"/>
        <item x="19"/>
        <item x="15"/>
        <item x="0"/>
        <item x="28"/>
      </items>
    </pivotField>
    <pivotField axis="axisRow" compact="0" outline="0" subtotalTop="0" showAll="0" includeNewItemsInFilter="1" sortType="ascending" defaultSubtotal="0">
      <items count="35">
        <item x="21"/>
        <item x="30"/>
        <item x="2"/>
        <item x="10"/>
        <item x="1"/>
        <item x="25"/>
        <item x="13"/>
        <item x="7"/>
        <item x="4"/>
        <item x="3"/>
        <item x="6"/>
        <item x="16"/>
        <item x="9"/>
        <item x="14"/>
        <item x="31"/>
        <item x="5"/>
        <item x="29"/>
        <item x="34"/>
        <item x="11"/>
        <item x="27"/>
        <item x="12"/>
        <item x="24"/>
        <item x="20"/>
        <item x="26"/>
        <item x="23"/>
        <item x="32"/>
        <item x="17"/>
        <item x="33"/>
        <item x="22"/>
        <item x="18"/>
        <item x="8"/>
        <item x="19"/>
        <item x="15"/>
        <item x="0"/>
        <item x="28"/>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defaultSubtotal="0">
      <items count="35">
        <item x="14"/>
        <item x="20"/>
        <item x="27"/>
        <item x="13"/>
        <item x="6"/>
        <item x="26"/>
        <item x="1"/>
        <item x="10"/>
        <item x="25"/>
        <item x="28"/>
        <item x="18"/>
        <item x="11"/>
        <item x="12"/>
        <item x="7"/>
        <item x="16"/>
        <item x="33"/>
        <item x="32"/>
        <item x="15"/>
        <item x="5"/>
        <item x="4"/>
        <item x="0"/>
        <item x="23"/>
        <item x="22"/>
        <item x="24"/>
        <item x="34"/>
        <item x="2"/>
        <item x="17"/>
        <item x="30"/>
        <item x="8"/>
        <item x="19"/>
        <item x="31"/>
        <item x="9"/>
        <item x="3"/>
        <item x="29"/>
        <item x="21"/>
      </items>
    </pivotField>
    <pivotField axis="axisRow" compact="0" outline="0" subtotalTop="0" showAll="0" includeNewItemsInFilter="1" defaultSubtotal="0">
      <items count="35">
        <item x="14"/>
        <item x="20"/>
        <item x="27"/>
        <item x="6"/>
        <item x="26"/>
        <item x="30"/>
        <item x="10"/>
        <item x="8"/>
        <item x="19"/>
        <item x="12"/>
        <item x="17"/>
        <item x="13"/>
        <item x="29"/>
        <item x="34"/>
        <item x="18"/>
        <item x="33"/>
        <item x="15"/>
        <item x="5"/>
        <item x="11"/>
        <item x="16"/>
        <item x="23"/>
        <item x="32"/>
        <item x="25"/>
        <item x="0"/>
        <item x="22"/>
        <item x="24"/>
        <item x="2"/>
        <item x="31"/>
        <item x="9"/>
        <item x="3"/>
        <item x="1"/>
        <item x="21"/>
        <item x="4"/>
        <item x="28"/>
        <item x="7"/>
      </items>
    </pivotField>
    <pivotField axis="axisRow" compact="0" outline="0" subtotalTop="0" showAll="0" includeNewItemsInFilter="1" defaultSubtotal="0">
      <items count="35">
        <item x="6"/>
        <item x="14"/>
        <item x="21"/>
        <item x="20"/>
        <item x="13"/>
        <item x="2"/>
        <item x="8"/>
        <item x="16"/>
        <item x="17"/>
        <item x="18"/>
        <item x="12"/>
        <item x="7"/>
        <item x="1"/>
        <item x="33"/>
        <item x="28"/>
        <item x="31"/>
        <item x="11"/>
        <item x="34"/>
        <item x="4"/>
        <item x="29"/>
        <item x="27"/>
        <item x="10"/>
        <item x="24"/>
        <item x="22"/>
        <item x="32"/>
        <item x="30"/>
        <item x="25"/>
        <item x="26"/>
        <item x="9"/>
        <item x="23"/>
        <item x="3"/>
        <item x="5"/>
        <item x="0"/>
        <item x="19"/>
        <item x="15"/>
      </items>
    </pivotField>
    <pivotField axis="axisRow" compact="0" outline="0" subtotalTop="0" showAll="0" includeNewItemsInFilter="1" defaultSubtotal="0">
      <items count="33">
        <item x="12"/>
        <item x="23"/>
        <item x="10"/>
        <item x="4"/>
        <item x="29"/>
        <item x="1"/>
        <item x="24"/>
        <item x="21"/>
        <item x="5"/>
        <item x="17"/>
        <item x="16"/>
        <item x="9"/>
        <item x="14"/>
        <item x="6"/>
        <item x="15"/>
        <item x="3"/>
        <item x="2"/>
        <item x="26"/>
        <item x="11"/>
        <item x="19"/>
        <item x="28"/>
        <item x="32"/>
        <item x="13"/>
        <item x="18"/>
        <item x="7"/>
        <item x="25"/>
        <item x="20"/>
        <item x="31"/>
        <item x="0"/>
        <item x="27"/>
        <item x="30"/>
        <item x="8"/>
        <item x="22"/>
      </items>
    </pivotField>
    <pivotField axis="axisRow" compact="0" outline="0" subtotalTop="0" showAll="0" includeNewItemsInFilter="1" defaultSubtotal="0">
      <items count="35">
        <item x="14"/>
        <item x="21"/>
        <item x="15"/>
        <item x="20"/>
        <item x="28"/>
        <item x="2"/>
        <item x="8"/>
        <item x="16"/>
        <item x="10"/>
        <item x="30"/>
        <item x="12"/>
        <item x="1"/>
        <item x="32"/>
        <item x="13"/>
        <item x="31"/>
        <item x="29"/>
        <item x="18"/>
        <item x="17"/>
        <item x="33"/>
        <item x="11"/>
        <item x="27"/>
        <item x="0"/>
        <item x="24"/>
        <item x="22"/>
        <item x="23"/>
        <item x="26"/>
        <item x="34"/>
        <item x="9"/>
        <item x="25"/>
        <item x="3"/>
        <item x="6"/>
        <item x="4"/>
        <item x="5"/>
        <item x="19"/>
        <item x="7"/>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7">
    <field x="6"/>
    <field x="8"/>
    <field x="33"/>
    <field x="34"/>
    <field x="35"/>
    <field x="36"/>
    <field x="37"/>
  </rowFields>
  <rowItems count="46">
    <i>
      <x/>
      <x v="12"/>
      <x v="31"/>
      <x v="28"/>
      <x v="28"/>
      <x v="31"/>
      <x v="27"/>
    </i>
    <i r="1">
      <x v="30"/>
      <x v="28"/>
      <x v="7"/>
      <x v="6"/>
      <x v="24"/>
      <x v="6"/>
    </i>
    <i r="1">
      <x v="32"/>
      <x v="17"/>
      <x v="16"/>
      <x v="34"/>
      <x v="12"/>
      <x v="2"/>
    </i>
    <i t="default">
      <x/>
    </i>
    <i>
      <x v="1"/>
      <x v="22"/>
      <x v="1"/>
      <x v="1"/>
      <x v="3"/>
      <x v="19"/>
      <x v="3"/>
    </i>
    <i t="default">
      <x v="1"/>
    </i>
    <i>
      <x v="2"/>
      <x/>
      <x v="34"/>
      <x v="31"/>
      <x v="2"/>
      <x v="26"/>
      <x v="1"/>
    </i>
    <i r="1">
      <x v="20"/>
      <x v="12"/>
      <x v="9"/>
      <x v="10"/>
      <x v="18"/>
      <x v="10"/>
    </i>
    <i r="1">
      <x v="21"/>
      <x v="23"/>
      <x v="25"/>
      <x v="22"/>
      <x v="1"/>
      <x v="22"/>
    </i>
    <i r="1">
      <x v="33"/>
      <x v="20"/>
      <x v="23"/>
      <x v="32"/>
      <x v="28"/>
      <x v="21"/>
    </i>
    <i t="default">
      <x v="2"/>
    </i>
    <i>
      <x v="3"/>
      <x v="1"/>
      <x v="27"/>
      <x v="5"/>
      <x v="25"/>
      <x v="4"/>
      <x v="9"/>
    </i>
    <i r="1">
      <x v="2"/>
      <x v="25"/>
      <x v="26"/>
      <x v="5"/>
      <x v="16"/>
      <x v="5"/>
    </i>
    <i r="1">
      <x v="4"/>
      <x v="6"/>
      <x v="30"/>
      <x v="12"/>
      <x v="5"/>
      <x v="11"/>
    </i>
    <i r="1">
      <x v="5"/>
      <x v="8"/>
      <x v="22"/>
      <x v="26"/>
      <x v="6"/>
      <x v="28"/>
    </i>
    <i r="1">
      <x v="8"/>
      <x v="19"/>
      <x v="32"/>
      <x v="18"/>
      <x v="3"/>
      <x v="31"/>
    </i>
    <i r="1">
      <x v="9"/>
      <x v="32"/>
      <x v="29"/>
      <x v="30"/>
      <x v="15"/>
      <x v="29"/>
    </i>
    <i r="1">
      <x v="11"/>
      <x v="14"/>
      <x v="19"/>
      <x v="7"/>
      <x v="14"/>
      <x v="7"/>
    </i>
    <i r="1">
      <x v="19"/>
      <x v="2"/>
      <x v="2"/>
      <x v="20"/>
      <x v="17"/>
      <x v="20"/>
    </i>
    <i r="1">
      <x v="23"/>
      <x v="5"/>
      <x v="4"/>
      <x v="27"/>
      <x v="25"/>
      <x v="25"/>
    </i>
    <i r="1">
      <x v="24"/>
      <x v="21"/>
      <x v="20"/>
      <x v="29"/>
      <x v="32"/>
      <x v="24"/>
    </i>
    <i r="1">
      <x v="31"/>
      <x v="29"/>
      <x v="8"/>
      <x v="33"/>
      <x v="23"/>
      <x v="33"/>
    </i>
    <i t="default">
      <x v="3"/>
    </i>
    <i>
      <x v="4"/>
      <x v="6"/>
      <x v="3"/>
      <x v="11"/>
      <x v="4"/>
      <x/>
      <x v="13"/>
    </i>
    <i r="1">
      <x v="7"/>
      <x v="13"/>
      <x v="34"/>
      <x v="11"/>
      <x v="3"/>
      <x v="34"/>
    </i>
    <i r="1">
      <x v="18"/>
      <x v="11"/>
      <x v="18"/>
      <x v="16"/>
      <x v="2"/>
      <x v="19"/>
    </i>
    <i r="1">
      <x v="27"/>
      <x v="15"/>
      <x v="15"/>
      <x v="13"/>
      <x v="9"/>
      <x v="18"/>
    </i>
    <i r="1">
      <x v="28"/>
      <x v="22"/>
      <x v="24"/>
      <x v="23"/>
      <x v="7"/>
      <x v="23"/>
    </i>
    <i r="1">
      <x v="29"/>
      <x v="10"/>
      <x v="14"/>
      <x v="9"/>
      <x v="9"/>
      <x v="16"/>
    </i>
    <i t="default">
      <x v="4"/>
    </i>
    <i>
      <x v="5"/>
      <x v="16"/>
      <x v="33"/>
      <x v="12"/>
      <x v="19"/>
      <x v="20"/>
      <x v="15"/>
    </i>
    <i r="1">
      <x v="25"/>
      <x v="16"/>
      <x v="21"/>
      <x v="24"/>
      <x v="27"/>
      <x v="12"/>
    </i>
    <i r="1">
      <x v="26"/>
      <x v="26"/>
      <x v="10"/>
      <x v="8"/>
      <x v="10"/>
      <x v="17"/>
    </i>
    <i t="default">
      <x v="5"/>
    </i>
    <i>
      <x v="6"/>
      <x v="3"/>
      <x v="7"/>
      <x v="6"/>
      <x v="21"/>
      <x v="11"/>
      <x v="8"/>
    </i>
    <i r="1">
      <x v="17"/>
      <x v="24"/>
      <x v="13"/>
      <x v="17"/>
      <x v="21"/>
      <x v="26"/>
    </i>
    <i t="default">
      <x v="6"/>
    </i>
    <i>
      <x v="7"/>
      <x v="10"/>
      <x v="4"/>
      <x v="3"/>
      <x/>
      <x v="13"/>
      <x v="30"/>
    </i>
    <i t="default">
      <x v="7"/>
    </i>
    <i>
      <x v="8"/>
      <x v="13"/>
      <x/>
      <x/>
      <x v="1"/>
      <x v="22"/>
      <x/>
    </i>
    <i t="default">
      <x v="8"/>
    </i>
    <i>
      <x v="9"/>
      <x v="14"/>
      <x v="30"/>
      <x v="27"/>
      <x v="15"/>
      <x v="30"/>
      <x v="14"/>
    </i>
    <i r="1">
      <x v="15"/>
      <x v="18"/>
      <x v="17"/>
      <x v="31"/>
      <x v="8"/>
      <x v="32"/>
    </i>
    <i r="1">
      <x v="34"/>
      <x v="9"/>
      <x v="33"/>
      <x v="14"/>
      <x v="29"/>
      <x v="4"/>
    </i>
    <i t="default">
      <x v="9"/>
    </i>
    <i t="grand">
      <x/>
    </i>
  </rowItems>
  <colItems count="1">
    <i/>
  </colItems>
  <dataFields count="1">
    <dataField name="Cuenta de UNIVERSIDAD" fld="7" subtotal="count" baseField="0" baseItem="0"/>
  </dataFields>
  <formats count="32">
    <format dxfId="167">
      <pivotArea dataOnly="0" labelOnly="1" outline="0" fieldPosition="0">
        <references count="1">
          <reference field="6" count="0"/>
        </references>
      </pivotArea>
    </format>
    <format dxfId="168">
      <pivotArea field="6" type="button" dataOnly="0" labelOnly="1" outline="0" axis="axisRow" fieldPosition="0"/>
    </format>
    <format dxfId="169">
      <pivotArea field="7" type="button" dataOnly="0" labelOnly="1" outline="0"/>
    </format>
    <format dxfId="170">
      <pivotArea field="33" type="button" dataOnly="0" labelOnly="1" outline="0" axis="axisRow" fieldPosition="2"/>
    </format>
    <format dxfId="171">
      <pivotArea field="34" type="button" dataOnly="0" labelOnly="1" outline="0" axis="axisRow" fieldPosition="3"/>
    </format>
    <format dxfId="172">
      <pivotArea field="35" type="button" dataOnly="0" labelOnly="1" outline="0" axis="axisRow" fieldPosition="4"/>
    </format>
    <format dxfId="173">
      <pivotArea field="36" type="button" dataOnly="0" labelOnly="1" outline="0" axis="axisRow" fieldPosition="5"/>
    </format>
    <format dxfId="174">
      <pivotArea field="37" type="button" dataOnly="0" labelOnly="1" outline="0" axis="axisRow" fieldPosition="6"/>
    </format>
    <format dxfId="175">
      <pivotArea field="6" type="button" dataOnly="0" labelOnly="1" outline="0" axis="axisRow" fieldPosition="0"/>
    </format>
    <format dxfId="176">
      <pivotArea field="7" type="button" dataOnly="0" labelOnly="1" outline="0"/>
    </format>
    <format dxfId="177">
      <pivotArea field="33" type="button" dataOnly="0" labelOnly="1" outline="0" axis="axisRow" fieldPosition="2"/>
    </format>
    <format dxfId="178">
      <pivotArea field="34" type="button" dataOnly="0" labelOnly="1" outline="0" axis="axisRow" fieldPosition="3"/>
    </format>
    <format dxfId="179">
      <pivotArea field="35" type="button" dataOnly="0" labelOnly="1" outline="0" axis="axisRow" fieldPosition="4"/>
    </format>
    <format dxfId="180">
      <pivotArea field="36" type="button" dataOnly="0" labelOnly="1" outline="0" axis="axisRow" fieldPosition="5"/>
    </format>
    <format dxfId="181">
      <pivotArea field="37" type="button" dataOnly="0" labelOnly="1" outline="0" axis="axisRow" fieldPosition="6"/>
    </format>
    <format dxfId="182">
      <pivotArea dataOnly="0" outline="0" fieldPosition="0">
        <references count="1">
          <reference field="6" count="0" defaultSubtotal="1"/>
        </references>
      </pivotArea>
    </format>
    <format dxfId="183">
      <pivotArea field="6" type="button" dataOnly="0" labelOnly="1" outline="0" axis="axisRow" fieldPosition="0"/>
    </format>
    <format dxfId="184">
      <pivotArea field="7" type="button" dataOnly="0" labelOnly="1" outline="0"/>
    </format>
    <format dxfId="185">
      <pivotArea field="33" type="button" dataOnly="0" labelOnly="1" outline="0" axis="axisRow" fieldPosition="2"/>
    </format>
    <format dxfId="186">
      <pivotArea field="34" type="button" dataOnly="0" labelOnly="1" outline="0" axis="axisRow" fieldPosition="3"/>
    </format>
    <format dxfId="187">
      <pivotArea field="35" type="button" dataOnly="0" labelOnly="1" outline="0" axis="axisRow" fieldPosition="4"/>
    </format>
    <format dxfId="188">
      <pivotArea field="36" type="button" dataOnly="0" labelOnly="1" outline="0" axis="axisRow" fieldPosition="5"/>
    </format>
    <format dxfId="189">
      <pivotArea field="37" type="button" dataOnly="0" labelOnly="1" outline="0" axis="axisRow" fieldPosition="6"/>
    </format>
    <format dxfId="190">
      <pivotArea field="6" type="button" dataOnly="0" labelOnly="1" outline="0" axis="axisRow" fieldPosition="0"/>
    </format>
    <format dxfId="191">
      <pivotArea field="7" type="button" dataOnly="0" labelOnly="1" outline="0"/>
    </format>
    <format dxfId="192">
      <pivotArea field="33" type="button" dataOnly="0" labelOnly="1" outline="0" axis="axisRow" fieldPosition="2"/>
    </format>
    <format dxfId="193">
      <pivotArea field="34" type="button" dataOnly="0" labelOnly="1" outline="0" axis="axisRow" fieldPosition="3"/>
    </format>
    <format dxfId="194">
      <pivotArea field="35" type="button" dataOnly="0" labelOnly="1" outline="0" axis="axisRow" fieldPosition="4"/>
    </format>
    <format dxfId="195">
      <pivotArea field="36" type="button" dataOnly="0" labelOnly="1" outline="0" axis="axisRow" fieldPosition="5"/>
    </format>
    <format dxfId="196">
      <pivotArea field="37" type="button" dataOnly="0" labelOnly="1" outline="0" axis="axisRow" fieldPosition="6"/>
    </format>
    <format dxfId="197">
      <pivotArea dataOnly="0" labelOnly="1" outline="0" fieldPosition="0">
        <references count="1">
          <reference field="8" count="0"/>
        </references>
      </pivotArea>
    </format>
    <format dxfId="198">
      <pivotArea field="8" type="button" dataOnly="0" labelOnly="1" outline="0" axis="axisRow" fieldPosition="1"/>
    </format>
  </formats>
  <pivotTableStyleInfo name="PivotStyleMedium2"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OfertaPlazas" displayName="OfertaPlazas" ref="A1:BG203" totalsRowCount="1" headerRowDxfId="166" headerRowBorderDxfId="165">
  <autoFilter ref="A1:BG202" xr:uid="{00000000-000C-0000-FFFF-FFFF00000000}">
    <filterColumn colId="1">
      <filters>
        <filter val="Instituto Tecnológico y de Estudios Superiores de Monterrey ITESM"/>
      </filters>
    </filterColumn>
  </autoFilter>
  <sortState xmlns:xlrd2="http://schemas.microsoft.com/office/spreadsheetml/2017/richdata2" ref="A135:BG135">
    <sortCondition ref="A1:A202"/>
  </sortState>
  <tableColumns count="59">
    <tableColumn id="59" xr3:uid="{24516651-C6BE-4AAA-B52C-F2F275876130}" name="Columna1" dataDxfId="163" totalsRowDxfId="164"/>
    <tableColumn id="1" xr3:uid="{00000000-0010-0000-0000-000001000000}" name="UNIVERSIDAD" dataDxfId="161" totalsRowDxfId="162"/>
    <tableColumn id="2" xr3:uid="{00000000-0010-0000-0000-000002000000}" name="UNIVERSIDAD (denominación en MoveOn)" dataDxfId="159" totalsRowDxfId="160"/>
    <tableColumn id="4" xr3:uid="{00000000-0010-0000-0000-000004000000}" name="CIUDAD" dataDxfId="157" totalsRowDxfId="158"/>
    <tableColumn id="5" xr3:uid="{00000000-0010-0000-0000-000005000000}" name="CÓDIGO ERASMUS" dataDxfId="155" totalsRowDxfId="156"/>
    <tableColumn id="6" xr3:uid="{00000000-0010-0000-0000-000006000000}" name="PAÍS" dataDxfId="153" totalsRowDxfId="154"/>
    <tableColumn id="7" xr3:uid="{00000000-0010-0000-0000-000007000000}" name="Universidades con DT (duración DT)" dataDxfId="151" totalsRowDxfId="152"/>
    <tableColumn id="8" xr3:uid="{00000000-0010-0000-0000-000008000000}" name="Deadline 1_x000a_FALL SEMESTER" dataDxfId="149" totalsRowDxfId="150"/>
    <tableColumn id="9" xr3:uid="{00000000-0010-0000-0000-000009000000}" name="Deadline 1S NOMINACIÓN (OI)" dataDxfId="147" totalsRowDxfId="148"/>
    <tableColumn id="10" xr3:uid="{00000000-0010-0000-0000-00000A000000}" name="Deadline 1S APLICACIÓN (alumno)" dataDxfId="145" totalsRowDxfId="146"/>
    <tableColumn id="11" xr3:uid="{00000000-0010-0000-0000-00000B000000}" name="Deadline 2_x000a_SPRING SEMESTER" dataDxfId="143" totalsRowDxfId="144"/>
    <tableColumn id="12" xr3:uid="{00000000-0010-0000-0000-00000C000000}" name="Deadline 2S NOMINACIÓN (OI)" dataDxfId="141" totalsRowDxfId="142"/>
    <tableColumn id="13" xr3:uid="{00000000-0010-0000-0000-00000D000000}" name="Deadline 2S APLICACIÓN (alumno)" dataDxfId="139" totalsRowDxfId="140"/>
    <tableColumn id="14" xr3:uid="{00000000-0010-0000-0000-00000E000000}" name="PROGRAMA" dataDxfId="137" totalsRowDxfId="138"/>
    <tableColumn id="15" xr3:uid="{00000000-0010-0000-0000-00000F000000}" name="Code SECD:_x000a_713-Electrical Engineering (Electricity and Energy)" dataDxfId="135" totalsRowDxfId="136"/>
    <tableColumn id="16" xr3:uid="{00000000-0010-0000-0000-000010000000}" name="Code SECD:_x000a_714-Electrical Engineering (Electronics and Automation)" dataDxfId="133" totalsRowDxfId="134"/>
    <tableColumn id="17" xr3:uid="{00000000-0010-0000-0000-000011000000}" name="Code SECD:_x000a_061-Computer Science (Information and Communication Technologies)" dataDxfId="131" totalsRowDxfId="132"/>
    <tableColumn id="18" xr3:uid="{00000000-0010-0000-0000-000012000000}" name="Code SECD:_x000a_914-Biomedical Engineering (Medical Diagnostic and Treatment Technology)" dataDxfId="129" totalsRowDxfId="130"/>
    <tableColumn id="19" xr3:uid="{00000000-0010-0000-0000-000013000000}" name="Area de Estudios" dataDxfId="127" totalsRowDxfId="128"/>
    <tableColumn id="20" xr3:uid="{00000000-0010-0000-0000-000014000000}" name="Posibilidad de beca?" dataDxfId="125" totalsRowDxfId="126"/>
    <tableColumn id="21" xr3:uid="{00000000-0010-0000-0000-000015000000}" name="PLAZAS" dataDxfId="123" totalsRowDxfId="124"/>
    <tableColumn id="22" xr3:uid="{00000000-0010-0000-0000-000016000000}" name="MES" dataDxfId="121" totalsRowDxfId="122"/>
    <tableColumn id="23" xr3:uid="{00000000-0010-0000-0000-000017000000}" name="E-mail contacto" dataDxfId="119" totalsRowDxfId="120"/>
    <tableColumn id="24" xr3:uid="{00000000-0010-0000-0000-000018000000}" name="Persona de contacto" dataDxfId="117" totalsRowDxfId="118"/>
    <tableColumn id="25" xr3:uid="{00000000-0010-0000-0000-000019000000}" name="GRADOS" dataDxfId="115" totalsRowDxfId="116"/>
    <tableColumn id="26" xr3:uid="{00000000-0010-0000-0000-00001A000000}" name="GITST" dataDxfId="113" totalsRowDxfId="114"/>
    <tableColumn id="27" xr3:uid="{00000000-0010-0000-0000-00001B000000}" name="GIB" dataDxfId="111" totalsRowDxfId="112"/>
    <tableColumn id="28" xr3:uid="{00000000-0010-0000-0000-00001C000000}" name="GISD" dataDxfId="109" totalsRowDxfId="110"/>
    <tableColumn id="29" xr3:uid="{00000000-0010-0000-0000-00001D000000}" name="MASTER" dataDxfId="107" totalsRowDxfId="108"/>
    <tableColumn id="61" xr3:uid="{697EA15B-D4CC-4423-83B7-675691F2B779}" name="TITULACIÓN" dataDxfId="105" totalsRowDxfId="106"/>
    <tableColumn id="30" xr3:uid="{00000000-0010-0000-0000-00001E000000}" name="S5" dataDxfId="103" totalsRowDxfId="104"/>
    <tableColumn id="31" xr3:uid="{00000000-0010-0000-0000-00001F000000}" name="S6" dataDxfId="101" totalsRowDxfId="102"/>
    <tableColumn id="32" xr3:uid="{00000000-0010-0000-0000-000020000000}" name="C3" dataDxfId="99" totalsRowDxfId="100"/>
    <tableColumn id="33" xr3:uid="{00000000-0010-0000-0000-000021000000}" name="S7" dataDxfId="97" totalsRowDxfId="98"/>
    <tableColumn id="34" xr3:uid="{00000000-0010-0000-0000-000022000000}" name="S8" dataDxfId="95" totalsRowDxfId="96"/>
    <tableColumn id="35" xr3:uid="{00000000-0010-0000-0000-000023000000}" name="S7+T" dataDxfId="93" totalsRowDxfId="94"/>
    <tableColumn id="36" xr3:uid="{00000000-0010-0000-0000-000024000000}" name="S8+T" dataDxfId="91" totalsRowDxfId="92"/>
    <tableColumn id="37" xr3:uid="{00000000-0010-0000-0000-000025000000}" name="C4º" dataDxfId="89" totalsRowDxfId="90"/>
    <tableColumn id="38" xr3:uid="{00000000-0010-0000-0000-000026000000}" name="C4º+T" dataDxfId="87" totalsRowDxfId="88"/>
    <tableColumn id="39" xr3:uid="{00000000-0010-0000-0000-000027000000}" name="T" dataDxfId="85" totalsRowDxfId="86"/>
    <tableColumn id="40" xr3:uid="{00000000-0010-0000-0000-000028000000}" name="MS2ºAÑO (UN SEMESTRE)" dataDxfId="83" totalsRowDxfId="84"/>
    <tableColumn id="41" xr3:uid="{00000000-0010-0000-0000-000029000000}" name="MS2ºAÑO+TFM" dataDxfId="81" totalsRowDxfId="82"/>
    <tableColumn id="42" xr3:uid="{00000000-0010-0000-0000-00002A000000}" name="TFM" dataDxfId="79" totalsRowDxfId="80"/>
    <tableColumn id="43" xr3:uid="{00000000-0010-0000-0000-00002B000000}" name="DT(MASTER)" dataDxfId="77" totalsRowDxfId="78"/>
    <tableColumn id="44" xr3:uid="{00000000-0010-0000-0000-00002C000000}" name="CERT" dataDxfId="75" totalsRowDxfId="76"/>
    <tableColumn id="60" xr3:uid="{7A8B084A-262E-4882-A4DB-D9C517B569D6}" name="OBSERVACIONES IDIOMAS" dataDxfId="73" totalsRowDxfId="74"/>
    <tableColumn id="45" xr3:uid="{00000000-0010-0000-0000-00002D000000}" name="OBSERVACIONES" dataDxfId="71" totalsRowDxfId="72"/>
    <tableColumn id="46" xr3:uid="{00000000-0010-0000-0000-00002E000000}" name="OBSERVACIONES2" dataDxfId="69" totalsRowDxfId="70"/>
    <tableColumn id="47" xr3:uid="{00000000-0010-0000-0000-00002F000000}" name="ToR verificable" dataDxfId="67" totalsRowDxfId="68"/>
    <tableColumn id="48" xr3:uid="{00000000-0010-0000-0000-000030000000}" name="GICO_CODE" dataDxfId="65" totalsRowDxfId="66"/>
    <tableColumn id="49" xr3:uid="{00000000-0010-0000-0000-000031000000}" name="Acuerdo desde la Universidad de origen" dataDxfId="63" totalsRowDxfId="64"/>
    <tableColumn id="50" xr3:uid="{00000000-0010-0000-0000-000032000000}" name="Areas de estudios" dataDxfId="61" totalsRowDxfId="62"/>
    <tableColumn id="51" xr3:uid="{00000000-0010-0000-0000-000033000000}" name="Departamento Uni de destino" dataDxfId="59" totalsRowDxfId="60"/>
    <tableColumn id="52" xr3:uid="{00000000-0010-0000-0000-000034000000}" name="Contact" dataDxfId="57" totalsRowDxfId="58"/>
    <tableColumn id="53" xr3:uid="{00000000-0010-0000-0000-000035000000}" name="Acuerdo desde la ETSIT-UPM" dataDxfId="55" totalsRowDxfId="56"/>
    <tableColumn id="54" xr3:uid="{00000000-0010-0000-0000-000036000000}" name="Observaciones3" dataDxfId="53" totalsRowDxfId="54"/>
    <tableColumn id="55" xr3:uid="{00000000-0010-0000-0000-000037000000}" name="OBSERVACIONES (archivo Teams)" dataDxfId="51" totalsRowDxfId="52"/>
    <tableColumn id="56" xr3:uid="{00000000-0010-0000-0000-000038000000}" name="Universidades que contestaron la encuesta" dataDxfId="49" totalsRowDxfId="50"/>
    <tableColumn id="57" xr3:uid="{00000000-0010-0000-0000-000039000000}" name="UNIVERSIDADES QUE NO ESTÁN EN TEAMS" dataDxfId="47" totalsRowDxfId="4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AT36" totalsRowShown="0" headerRowDxfId="46">
  <autoFilter ref="A1:AT36" xr:uid="{00000000-0009-0000-0100-000001000000}"/>
  <tableColumns count="46">
    <tableColumn id="1" xr3:uid="{00000000-0010-0000-0100-000001000000}" name="ID" dataDxfId="45"/>
    <tableColumn id="2" xr3:uid="{00000000-0010-0000-0100-000002000000}" name="Hora de inicio" dataDxfId="44"/>
    <tableColumn id="3" xr3:uid="{00000000-0010-0000-0100-000003000000}" name="Hora de finalización" dataDxfId="43"/>
    <tableColumn id="4" xr3:uid="{00000000-0010-0000-0100-000004000000}" name="Correo electrónico" dataDxfId="42"/>
    <tableColumn id="5" xr3:uid="{00000000-0010-0000-0100-000005000000}" name="Nombre" dataDxfId="41"/>
    <tableColumn id="6" xr3:uid="{00000000-0010-0000-0100-000006000000}" name="Language" dataDxfId="40"/>
    <tableColumn id="7" xr3:uid="{00000000-0010-0000-0100-000007000000}" name="Select your country" dataDxfId="39"/>
    <tableColumn id="44" xr3:uid="{00000000-0010-0000-0100-00002C000000}" name="UNIVERSIDAD" dataDxfId="38">
      <calculatedColumnFormula>CONCATENATE('ENCUESTAS JUN-2021'!$K2,'ENCUESTAS JUN-2021'!$L2,'ENCUESTAS JUN-2021'!$M2,'ENCUESTAS JUN-2021'!$N2,'ENCUESTAS JUN-2021'!$O2,'ENCUESTAS JUN-2021'!$P2,'ENCUESTAS JUN-2021'!$Q2,'ENCUESTAS JUN-2021'!$R2,'ENCUESTAS JUN-2021'!$S2,'ENCUESTAS JUN-2021'!$T2,'ENCUESTAS JUN-2021'!$U2,'ENCUESTAS JUN-2021'!$V2,'ENCUESTAS JUN-2021'!$W2,'ENCUESTAS JUN-2021'!$X2,'ENCUESTAS JUN-2021'!$Y2,'ENCUESTAS JUN-2021'!$Z2,'ENCUESTAS JUN-2021'!$AA2,'ENCUESTAS JUN-2021'!$AB2,'ENCUESTAS JUN-2021'!$AC2,'ENCUESTAS JUN-2021'!$AD2,'ENCUESTAS JUN-2021'!$AE2,'ENCUESTAS JUN-2021'!$AF2)</calculatedColumnFormula>
    </tableColumn>
    <tableColumn id="45" xr3:uid="{00000000-0010-0000-0100-00002D000000}" name="Nombre Universidad (OFERTA DE PLAZAS)" dataDxfId="37"/>
    <tableColumn id="46" xr3:uid="{00000000-0010-0000-0100-00002E000000}" name="Código Erasmus" dataDxfId="36"/>
    <tableColumn id="8" xr3:uid="{00000000-0010-0000-0100-000008000000}" name="Select the name of your University (Austria)" dataDxfId="35"/>
    <tableColumn id="9" xr3:uid="{00000000-0010-0000-0100-000009000000}" name="Select the name of your University (Belgium)" dataDxfId="34"/>
    <tableColumn id="10" xr3:uid="{00000000-0010-0000-0100-00000A000000}" name="Select the name of your University (Bulgary)" dataDxfId="33"/>
    <tableColumn id="11" xr3:uid="{00000000-0010-0000-0100-00000B000000}" name="Select the name of your University (Czech Rep.)" dataDxfId="32"/>
    <tableColumn id="12" xr3:uid="{00000000-0010-0000-0100-00000C000000}" name="Select the name of your University (Denmark)" dataDxfId="31"/>
    <tableColumn id="13" xr3:uid="{00000000-0010-0000-0100-00000D000000}" name="Select the name of your University (Finland)" dataDxfId="30"/>
    <tableColumn id="14" xr3:uid="{00000000-0010-0000-0100-00000E000000}" name="Select the name of your University (France)" dataDxfId="29"/>
    <tableColumn id="15" xr3:uid="{00000000-0010-0000-0100-00000F000000}" name="Select the name of your University (Germany)" dataDxfId="28"/>
    <tableColumn id="16" xr3:uid="{00000000-0010-0000-0100-000010000000}" name="Select the name of your University (Greece)" dataDxfId="27"/>
    <tableColumn id="17" xr3:uid="{00000000-0010-0000-0100-000011000000}" name="Select the name of your University (Ireland)" dataDxfId="26"/>
    <tableColumn id="18" xr3:uid="{00000000-0010-0000-0100-000012000000}" name="Select the name of your University (Italy)" dataDxfId="25"/>
    <tableColumn id="19" xr3:uid="{00000000-0010-0000-0100-000013000000}" name="Select the name of your University (Netherlands)" dataDxfId="24"/>
    <tableColumn id="20" xr3:uid="{00000000-0010-0000-0100-000014000000}" name="Select the name of your University (Norway)" dataDxfId="23"/>
    <tableColumn id="21" xr3:uid="{00000000-0010-0000-0100-000015000000}" name="Select the name of your University (North Macedonia)" dataDxfId="22"/>
    <tableColumn id="22" xr3:uid="{00000000-0010-0000-0100-000016000000}" name="Select the name of your University (Poland)" dataDxfId="21"/>
    <tableColumn id="23" xr3:uid="{00000000-0010-0000-0100-000017000000}" name="Select the name of your University (Portugal)" dataDxfId="20"/>
    <tableColumn id="24" xr3:uid="{00000000-0010-0000-0100-000018000000}" name="Select the name of your University (Romania)" dataDxfId="19"/>
    <tableColumn id="25" xr3:uid="{00000000-0010-0000-0100-000019000000}" name="Select the name of your University (Slovenia)" dataDxfId="18"/>
    <tableColumn id="26" xr3:uid="{00000000-0010-0000-0100-00001A000000}" name="Select the name of your University (Sweden)" dataDxfId="17"/>
    <tableColumn id="27" xr3:uid="{00000000-0010-0000-0100-00001B000000}" name="Select the name of your University (Switzerland)" dataDxfId="16"/>
    <tableColumn id="28" xr3:uid="{00000000-0010-0000-0100-00001C000000}" name="Select the name of your University (Turkey)" dataDxfId="15"/>
    <tableColumn id="29" xr3:uid="{00000000-0010-0000-0100-00001D000000}" name="Select the name of your University (UK)" dataDxfId="14"/>
    <tableColumn id="30" xr3:uid="{00000000-0010-0000-0100-00001E000000}" name="Please, introduce the Erasmus Code for your University, if the one shown in the previous drop-up menu was incorrect" dataDxfId="13"/>
    <tableColumn id="31" xr3:uid="{00000000-0010-0000-0100-00001F000000}" name="Name/Surname of the International Office Coordinator of your University" dataDxfId="12"/>
    <tableColumn id="32" xr3:uid="{00000000-0010-0000-0100-000020000000}" name="e-mail address of the International Office Coordinator" dataDxfId="11"/>
    <tableColumn id="33" xr3:uid="{00000000-0010-0000-0100-000021000000}" name="Your Name and Surname" dataDxfId="10"/>
    <tableColumn id="34" xr3:uid="{00000000-0010-0000-0100-000022000000}" name="Your function in the International Office" dataDxfId="9"/>
    <tableColumn id="35" xr3:uid="{00000000-0010-0000-0100-000023000000}" name="Your e-mail address" dataDxfId="8"/>
    <tableColumn id="36" xr3:uid="{00000000-0010-0000-0100-000024000000}" name="Would you like to adjust the current number of slots?" dataDxfId="7"/>
    <tableColumn id="37" xr3:uid="{00000000-0010-0000-0100-000025000000}" name="Please, indicate an initial proposal with the number of students (slots) you would like to increase. We will contact you to fix the final number." dataDxfId="6"/>
    <tableColumn id="38" xr3:uid="{00000000-0010-0000-0100-000026000000}" name="Please, indicate an initial proposal with the number of students (slots) you would like to decrease. We will contact you to fix the final number." dataDxfId="5"/>
    <tableColumn id="39" xr3:uid="{00000000-0010-0000-0100-000027000000}" name="We are interested in offering 3rd study cycle exchange. Would you agree to exchange students in this 3rd study cycle?" dataDxfId="4"/>
    <tableColumn id="40" xr3:uid="{00000000-0010-0000-0100-000028000000}" name="Our current fields of study are:_x000a_- Electrical Engineering:      (714 Electronics and automation / 713 Electricity and energy)_x000a_- ICTs:                                  (611 Computer Use / 612 DB an..." dataDxfId="3"/>
    <tableColumn id="41" xr3:uid="{00000000-0010-0000-0100-000029000000}" name="In which domains would you like to START a new student exchange program with ETS Telecomunicacion-UPM (Spain)? (several options are possible)" dataDxfId="2"/>
    <tableColumn id="42" xr3:uid="{00000000-0010-0000-0100-00002A000000}" name="Please, indicate an initial proposal with the number of students (slots) and months per each NEW field of study" dataDxfId="1"/>
    <tableColumn id="43" xr3:uid="{00000000-0010-0000-0100-00002B000000}" name="If you have any additional comments, please fill in the box"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cfchiu@ntu.edu.tw" TargetMode="External"/><Relationship Id="rId21" Type="http://schemas.openxmlformats.org/officeDocument/2006/relationships/hyperlink" Target="mailto:international@unitn.it" TargetMode="External"/><Relationship Id="rId42" Type="http://schemas.openxmlformats.org/officeDocument/2006/relationships/hyperlink" Target="mailto:mobility@fau.de" TargetMode="External"/><Relationship Id="rId63" Type="http://schemas.openxmlformats.org/officeDocument/2006/relationships/hyperlink" Target="mailto:international@epita.fr%20;%20camille-chloe.moussa@epita.fr" TargetMode="External"/><Relationship Id="rId84" Type="http://schemas.openxmlformats.org/officeDocument/2006/relationships/hyperlink" Target="mailto:delegacion.asia@upm.es" TargetMode="External"/><Relationship Id="rId138" Type="http://schemas.openxmlformats.org/officeDocument/2006/relationships/vmlDrawing" Target="../drawings/vmlDrawing1.vml"/><Relationship Id="rId16" Type="http://schemas.openxmlformats.org/officeDocument/2006/relationships/hyperlink" Target="mailto:international.enseeiht@toulouse-inp.fr;%20isabelle.simon@toulouse-inp.fr" TargetMode="External"/><Relationship Id="rId107" Type="http://schemas.openxmlformats.org/officeDocument/2006/relationships/hyperlink" Target="mailto:exchange.in@eecs.kth.se;%20%20exchangestudies@kth.se" TargetMode="External"/><Relationship Id="rId11" Type="http://schemas.openxmlformats.org/officeDocument/2006/relationships/hyperlink" Target="mailto:international@ensicaen.fr" TargetMode="External"/><Relationship Id="rId32" Type="http://schemas.openxmlformats.org/officeDocument/2006/relationships/hyperlink" Target="mailto:dep.externe@ulbsibiu.ro" TargetMode="External"/><Relationship Id="rId37" Type="http://schemas.openxmlformats.org/officeDocument/2006/relationships/hyperlink" Target="mailto:erasmus.incoming@marmara.edu.tr" TargetMode="External"/><Relationship Id="rId53" Type="http://schemas.openxmlformats.org/officeDocument/2006/relationships/hyperlink" Target="mailto:isabel.ortiz@upm.es" TargetMode="External"/><Relationship Id="rId58" Type="http://schemas.openxmlformats.org/officeDocument/2006/relationships/hyperlink" Target="https://secure-web.cisco.com/1e7pMB8uMoCkd60B0uF2eGPhybkku3g8yHKIKVN_6HOTmUjDNbLic130GvbLIeuYkkR2sj50cVpIiFREYYy2Ey7Q1qjDA7OIIU7aDxBqbBm6t4vHwF9EmgzyDq3OFa5hp8vtuISM7BqEtSlShd8RN_i6-lKsE_3iARPrkSRTpJNWj7SzFdlA15VMGYjelN4SE0ZRygR-3uQQq0ozphUnTJdxPQkpRm1a0iuzdJHcnrDkow3Q8fzQjof6bPEn8T6P06gecLsJAClWzC7ox9L2yJfmBrPVjHPwKB0E6DZtJsaY/https%3A%2F%2Ferasmus.uniwa.gr%2Fen%2Ferasmus%2Fcourse-catalogue%2F" TargetMode="External"/><Relationship Id="rId74" Type="http://schemas.openxmlformats.org/officeDocument/2006/relationships/hyperlink" Target="https://urldefense.com/v3/__https:/isen-nantes.fr/international-accueil/exchange-students/__;!!D9dNQwwGXtA!X4jUrp1qD2y4abzZqw9DExCgzy50PGHn1K2T96Ho6C4d0TZFfHqGnjfp6re882NiZJJtXf4Jb2L-zUX3jP33piWdQweNrlpr-nN97Q$" TargetMode="External"/><Relationship Id="rId79" Type="http://schemas.openxmlformats.org/officeDocument/2006/relationships/hyperlink" Target="mailto:delegacion.asia@upm.es" TargetMode="External"/><Relationship Id="rId102" Type="http://schemas.openxmlformats.org/officeDocument/2006/relationships/hyperlink" Target="mailto:erasmus-incoming@uni-bonn.de;programme-assist@uni-bonn.de;%20%20elmar.langetepe@informatik.uni-bonn.de" TargetMode="External"/><Relationship Id="rId123" Type="http://schemas.openxmlformats.org/officeDocument/2006/relationships/hyperlink" Target="mailto:erasmus.io@hs-mannheim.de;incoming.io@hs-mannheim.de" TargetMode="External"/><Relationship Id="rId128" Type="http://schemas.openxmlformats.org/officeDocument/2006/relationships/hyperlink" Target="mailto:michelle.parrenin@univ-fcomte.fr" TargetMode="External"/><Relationship Id="rId5" Type="http://schemas.openxmlformats.org/officeDocument/2006/relationships/hyperlink" Target="mailto:international.ea@ugent.be" TargetMode="External"/><Relationship Id="rId90" Type="http://schemas.openxmlformats.org/officeDocument/2006/relationships/hyperlink" Target="mailto:incoming@lth.lu.se" TargetMode="External"/><Relationship Id="rId95" Type="http://schemas.openxmlformats.org/officeDocument/2006/relationships/hyperlink" Target="mailto:Guilherme.injo@maua.br" TargetMode="External"/><Relationship Id="rId22" Type="http://schemas.openxmlformats.org/officeDocument/2006/relationships/hyperlink" Target="mailto:international@finki.ukim.mk" TargetMode="External"/><Relationship Id="rId27" Type="http://schemas.openxmlformats.org/officeDocument/2006/relationships/hyperlink" Target="mailto:gmsa@isep.ipp.pt" TargetMode="External"/><Relationship Id="rId43" Type="http://schemas.openxmlformats.org/officeDocument/2006/relationships/hyperlink" Target="mailto:incoming.students@uniroma3.it;%20outgoing.students@uniroma3.it" TargetMode="External"/><Relationship Id="rId48" Type="http://schemas.openxmlformats.org/officeDocument/2006/relationships/hyperlink" Target="mailto:incoming.students@polito.it" TargetMode="External"/><Relationship Id="rId64" Type="http://schemas.openxmlformats.org/officeDocument/2006/relationships/hyperlink" Target="mailto:intercam@upaep.mx" TargetMode="External"/><Relationship Id="rId69" Type="http://schemas.openxmlformats.org/officeDocument/2006/relationships/hyperlink" Target="mailto:exchange@agh.edu.pl" TargetMode="External"/><Relationship Id="rId113" Type="http://schemas.openxmlformats.org/officeDocument/2006/relationships/hyperlink" Target="mailto:sac-exchange-in@epfl.ch" TargetMode="External"/><Relationship Id="rId118" Type="http://schemas.openxmlformats.org/officeDocument/2006/relationships/hyperlink" Target="mailto:larissa.meier@tum.de" TargetMode="External"/><Relationship Id="rId134" Type="http://schemas.openxmlformats.org/officeDocument/2006/relationships/hyperlink" Target="mailto:incoming@itba.edu.ar%20%20%20global@itba.edu.ar" TargetMode="External"/><Relationship Id="rId139" Type="http://schemas.openxmlformats.org/officeDocument/2006/relationships/table" Target="../tables/table1.xml"/><Relationship Id="rId80" Type="http://schemas.openxmlformats.org/officeDocument/2006/relationships/hyperlink" Target="mailto:delegacion.asia@upm.es" TargetMode="External"/><Relationship Id="rId85" Type="http://schemas.openxmlformats.org/officeDocument/2006/relationships/hyperlink" Target="mailto:delegacion.asia@upm.es" TargetMode="External"/><Relationship Id="rId12" Type="http://schemas.openxmlformats.org/officeDocument/2006/relationships/hyperlink" Target="mailto:international.welcomeservices@grenoble-inp.fr" TargetMode="External"/><Relationship Id="rId17" Type="http://schemas.openxmlformats.org/officeDocument/2006/relationships/hyperlink" Target="mailto:erasmus2@uniwa.gr" TargetMode="External"/><Relationship Id="rId33" Type="http://schemas.openxmlformats.org/officeDocument/2006/relationships/hyperlink" Target="mailto:incoming.student@ju.se" TargetMode="External"/><Relationship Id="rId38" Type="http://schemas.openxmlformats.org/officeDocument/2006/relationships/hyperlink" Target="mailto:erasmus@yildiz.edu.tr" TargetMode="External"/><Relationship Id="rId59" Type="http://schemas.openxmlformats.org/officeDocument/2006/relationships/hyperlink" Target="mailto:delegacion.asia@upm.es" TargetMode="External"/><Relationship Id="rId103" Type="http://schemas.openxmlformats.org/officeDocument/2006/relationships/hyperlink" Target="mailto:welcome3@insa-lyon.fr" TargetMode="External"/><Relationship Id="rId108" Type="http://schemas.openxmlformats.org/officeDocument/2006/relationships/hyperlink" Target="mailto:ri.hepia@hesge.ch;" TargetMode="External"/><Relationship Id="rId124" Type="http://schemas.openxmlformats.org/officeDocument/2006/relationships/hyperlink" Target="mailto:movilidadestudiantil@uni.edu.pe" TargetMode="External"/><Relationship Id="rId129" Type="http://schemas.openxmlformats.org/officeDocument/2006/relationships/hyperlink" Target="https://www.eurecom.fr/index.php/en/teaching/engineering-studies-exchange-students%20/%20Para%20alumnos%20de%20DT:%2018%20meses%20(%201%20curso%20asignaturas%20y%201%20semestre%20TFM%20TOTAL:%2090%20ECTS)" TargetMode="External"/><Relationship Id="rId54" Type="http://schemas.openxmlformats.org/officeDocument/2006/relationships/hyperlink" Target="mailto:luis.salgado@upm.es" TargetMode="External"/><Relationship Id="rId70" Type="http://schemas.openxmlformats.org/officeDocument/2006/relationships/hyperlink" Target="mailto:internationaloffice@tuhh.de" TargetMode="External"/><Relationship Id="rId75" Type="http://schemas.openxmlformats.org/officeDocument/2006/relationships/hyperlink" Target="mailto:pascale.castaing@eurecom.fr;%20Stephanie.Marmion@eurecom.fr;%20Admission@eurecom.fr" TargetMode="External"/><Relationship Id="rId91" Type="http://schemas.openxmlformats.org/officeDocument/2006/relationships/hyperlink" Target="mailto:incoming@lith.liu.se" TargetMode="External"/><Relationship Id="rId96" Type="http://schemas.openxmlformats.org/officeDocument/2006/relationships/hyperlink" Target="mailto:ytorres@pupr.edu;%20internationalmobility@pupr.edu;" TargetMode="External"/><Relationship Id="rId140" Type="http://schemas.openxmlformats.org/officeDocument/2006/relationships/comments" Target="../comments1.xml"/><Relationship Id="rId1" Type="http://schemas.openxmlformats.org/officeDocument/2006/relationships/hyperlink" Target="http://www.imt-lille-douai.fr/" TargetMode="External"/><Relationship Id="rId6" Type="http://schemas.openxmlformats.org/officeDocument/2006/relationships/hyperlink" Target="mailto:emmanuelle.brun@uclouvain.be" TargetMode="External"/><Relationship Id="rId23" Type="http://schemas.openxmlformats.org/officeDocument/2006/relationships/hyperlink" Target="mailto:erasmus.incoming@unipd.it;%20international@dei.unipd.it;%20mobility.in@unipd.it%20(DT" TargetMode="External"/><Relationship Id="rId28" Type="http://schemas.openxmlformats.org/officeDocument/2006/relationships/hyperlink" Target="mailto:erasmus@put.poznan.pl" TargetMode="External"/><Relationship Id="rId49" Type="http://schemas.openxmlformats.org/officeDocument/2006/relationships/hyperlink" Target="https://www.fh-joanneum.at/en/international/study-programmes/international-programme-kapfenberg/" TargetMode="External"/><Relationship Id="rId114" Type="http://schemas.openxmlformats.org/officeDocument/2006/relationships/hyperlink" Target="mailto:jeanine.lopez@upaep.mx" TargetMode="External"/><Relationship Id="rId119" Type="http://schemas.openxmlformats.org/officeDocument/2006/relationships/hyperlink" Target="mailto:international@ece.fr;%20fmahe@ece.fr" TargetMode="External"/><Relationship Id="rId44" Type="http://schemas.openxmlformats.org/officeDocument/2006/relationships/hyperlink" Target="mailto:sofia.fontesesousadeoliveira@fh-joanneum.at" TargetMode="External"/><Relationship Id="rId60" Type="http://schemas.openxmlformats.org/officeDocument/2006/relationships/hyperlink" Target="mailto:international@ec-nantes.fr" TargetMode="External"/><Relationship Id="rId65" Type="http://schemas.openxmlformats.org/officeDocument/2006/relationships/hyperlink" Target="mailto:studyinmexico@itesm.mx" TargetMode="External"/><Relationship Id="rId81" Type="http://schemas.openxmlformats.org/officeDocument/2006/relationships/hyperlink" Target="mailto:delegacion.asia@upm.es" TargetMode="External"/><Relationship Id="rId86" Type="http://schemas.openxmlformats.org/officeDocument/2006/relationships/hyperlink" Target="mailto:delegacion.asia@upm.es" TargetMode="External"/><Relationship Id="rId130" Type="http://schemas.openxmlformats.org/officeDocument/2006/relationships/hyperlink" Target="mailto:dri-europe-incoming-students@unistra.fr" TargetMode="External"/><Relationship Id="rId135" Type="http://schemas.openxmlformats.org/officeDocument/2006/relationships/hyperlink" Target="mailto:Incoming.erasmus@ul.ie" TargetMode="External"/><Relationship Id="rId13" Type="http://schemas.openxmlformats.org/officeDocument/2006/relationships/hyperlink" Target="mailto:laurent.baudry@imt-lille-douai.fr" TargetMode="External"/><Relationship Id="rId18" Type="http://schemas.openxmlformats.org/officeDocument/2006/relationships/hyperlink" Target="mailto:luisa.nasta@poliba.it" TargetMode="External"/><Relationship Id="rId39" Type="http://schemas.openxmlformats.org/officeDocument/2006/relationships/hyperlink" Target="mailto:zeynep.siper@ozyegin.edu.tr;%20yasemin.ozbas@ozyegin.edu.tr" TargetMode="External"/><Relationship Id="rId109" Type="http://schemas.openxmlformats.org/officeDocument/2006/relationships/hyperlink" Target="mailto:asantilli@um.edu.uy" TargetMode="External"/><Relationship Id="rId34" Type="http://schemas.openxmlformats.org/officeDocument/2006/relationships/hyperlink" Target="mailto:idt-international@mdh.se" TargetMode="External"/><Relationship Id="rId50" Type="http://schemas.openxmlformats.org/officeDocument/2006/relationships/hyperlink" Target="mailto:radovanovic@etf.bg.ac.rs" TargetMode="External"/><Relationship Id="rId55" Type="http://schemas.openxmlformats.org/officeDocument/2006/relationships/hyperlink" Target="mailto:carine.morotti-delorme@centralesupelec.fr" TargetMode="External"/><Relationship Id="rId76" Type="http://schemas.openxmlformats.org/officeDocument/2006/relationships/hyperlink" Target="mailto:international@minesparis.psl.eu;%20cooperation@minesparis.psl.eu" TargetMode="External"/><Relationship Id="rId97" Type="http://schemas.openxmlformats.org/officeDocument/2006/relationships/hyperlink" Target="mailto:polyana.santos@inatel.br" TargetMode="External"/><Relationship Id="rId104" Type="http://schemas.openxmlformats.org/officeDocument/2006/relationships/hyperlink" Target="mailto:eramus.mobilidade@ubi.pt" TargetMode="External"/><Relationship Id="rId120" Type="http://schemas.openxmlformats.org/officeDocument/2006/relationships/hyperlink" Target="mailto:oiarelations@uniandes.edu.co" TargetMode="External"/><Relationship Id="rId125" Type="http://schemas.openxmlformats.org/officeDocument/2006/relationships/hyperlink" Target="mailto:partnerships@univ-grenoble-alpes.fr;%20valerie.guieu@univ-grenoble-alpes.fr;" TargetMode="External"/><Relationship Id="rId7" Type="http://schemas.openxmlformats.org/officeDocument/2006/relationships/hyperlink" Target="mailto:vkp@tu-sofia.bg" TargetMode="External"/><Relationship Id="rId71" Type="http://schemas.openxmlformats.org/officeDocument/2006/relationships/hyperlink" Target="mailto:incomings@rwth-aachen.de" TargetMode="External"/><Relationship Id="rId92" Type="http://schemas.openxmlformats.org/officeDocument/2006/relationships/hyperlink" Target="mailto:jruszel@prz.edu.pl%20(outgoing),%20monikas@prz.edu.pl(incoming" TargetMode="External"/><Relationship Id="rId2" Type="http://schemas.openxmlformats.org/officeDocument/2006/relationships/hyperlink" Target="http://www.ingegnieria.uniparthenope.it/didattica" TargetMode="External"/><Relationship Id="rId29" Type="http://schemas.openxmlformats.org/officeDocument/2006/relationships/hyperlink" Target="mailto:incoming@zut.edu.pl" TargetMode="External"/><Relationship Id="rId24" Type="http://schemas.openxmlformats.org/officeDocument/2006/relationships/hyperlink" Target="mailto:incoming.erasmus@unipv.it" TargetMode="External"/><Relationship Id="rId40" Type="http://schemas.openxmlformats.org/officeDocument/2006/relationships/hyperlink" Target="mailto:internationaloffice@aau.dk" TargetMode="External"/><Relationship Id="rId45" Type="http://schemas.openxmlformats.org/officeDocument/2006/relationships/hyperlink" Target="mailto:erasmus@uphf.fr" TargetMode="External"/><Relationship Id="rId66" Type="http://schemas.openxmlformats.org/officeDocument/2006/relationships/hyperlink" Target="mailto:incoming-elec@aalto.fi" TargetMode="External"/><Relationship Id="rId87" Type="http://schemas.openxmlformats.org/officeDocument/2006/relationships/hyperlink" Target="mailto:delegacion.asia@upm.es" TargetMode="External"/><Relationship Id="rId110" Type="http://schemas.openxmlformats.org/officeDocument/2006/relationships/hyperlink" Target="mailto:erasmus@fri.uni-lj.si" TargetMode="External"/><Relationship Id="rId115" Type="http://schemas.openxmlformats.org/officeDocument/2006/relationships/hyperlink" Target="mailto:annacarin.larsson@ltu.se" TargetMode="External"/><Relationship Id="rId131" Type="http://schemas.openxmlformats.org/officeDocument/2006/relationships/hyperlink" Target="mailto:relint@utp.edu.co" TargetMode="External"/><Relationship Id="rId136" Type="http://schemas.openxmlformats.org/officeDocument/2006/relationships/hyperlink" Target="mailto:internacionalizacion@upb.edu" TargetMode="External"/><Relationship Id="rId61" Type="http://schemas.openxmlformats.org/officeDocument/2006/relationships/hyperlink" Target="mailto:mob-out-europe@imt-atlantique.fr" TargetMode="External"/><Relationship Id="rId82" Type="http://schemas.openxmlformats.org/officeDocument/2006/relationships/hyperlink" Target="mailto:delegacion.asia@upm.es" TargetMode="External"/><Relationship Id="rId19" Type="http://schemas.openxmlformats.org/officeDocument/2006/relationships/hyperlink" Target="mailto:erasmus-agreements@polimi.it" TargetMode="External"/><Relationship Id="rId14" Type="http://schemas.openxmlformats.org/officeDocument/2006/relationships/hyperlink" Target="mailto:christophe.sueur@centralelille.fr%20;%20international.mobility@centralelille.fr%20(for%20nomination%20&amp;%20application%20purposes)" TargetMode="External"/><Relationship Id="rId30" Type="http://schemas.openxmlformats.org/officeDocument/2006/relationships/hyperlink" Target="mailto:incoming.erasmus@pw.edu.pl,%20Joanna.golebiowska@pw.edu.pl%20aleksandra.sulecka@pw.edu.pl" TargetMode="External"/><Relationship Id="rId35" Type="http://schemas.openxmlformats.org/officeDocument/2006/relationships/hyperlink" Target="mailto:Eeva.Virtanen@xamk.fi" TargetMode="External"/><Relationship Id="rId56" Type="http://schemas.openxmlformats.org/officeDocument/2006/relationships/hyperlink" Target="mailto:anna.wojcik@pwr.edu.pl" TargetMode="External"/><Relationship Id="rId77" Type="http://schemas.openxmlformats.org/officeDocument/2006/relationships/hyperlink" Target="mailto:manuela.velez69@eia.edu.co,%20carlos.oviedo28@eia.edu.co" TargetMode="External"/><Relationship Id="rId100" Type="http://schemas.openxmlformats.org/officeDocument/2006/relationships/hyperlink" Target="mailto:julia.esline@ec-lyon.fr" TargetMode="External"/><Relationship Id="rId105" Type="http://schemas.openxmlformats.org/officeDocument/2006/relationships/hyperlink" Target="mailto:erasmus_incoming@itu.edu.tr" TargetMode="External"/><Relationship Id="rId126" Type="http://schemas.openxmlformats.org/officeDocument/2006/relationships/hyperlink" Target="mailto:isabel.ortiz@upm.es;%20" TargetMode="External"/><Relationship Id="rId8" Type="http://schemas.openxmlformats.org/officeDocument/2006/relationships/hyperlink" Target="mailto:international.engineering@zhaw.ch" TargetMode="External"/><Relationship Id="rId51" Type="http://schemas.openxmlformats.org/officeDocument/2006/relationships/hyperlink" Target="mailto:erasmus@unica.it" TargetMode="External"/><Relationship Id="rId72" Type="http://schemas.openxmlformats.org/officeDocument/2006/relationships/hyperlink" Target="mailto:Europe-CentralAsia@cranfield.ac.uk" TargetMode="External"/><Relationship Id="rId93" Type="http://schemas.openxmlformats.org/officeDocument/2006/relationships/hyperlink" Target="mailto:international@ingegneria.unifi.it" TargetMode="External"/><Relationship Id="rId98" Type="http://schemas.openxmlformats.org/officeDocument/2006/relationships/hyperlink" Target="mailto:student.erasmus@upb.ro" TargetMode="External"/><Relationship Id="rId121" Type="http://schemas.openxmlformats.org/officeDocument/2006/relationships/hyperlink" Target="mailto:exchange@anahuac.mx;%20incoming.mexico@anahuac.mx" TargetMode="External"/><Relationship Id="rId3" Type="http://schemas.openxmlformats.org/officeDocument/2006/relationships/hyperlink" Target="https://into.aalto.fi/display/enmasterelec/How+to+apply" TargetMode="External"/><Relationship Id="rId25" Type="http://schemas.openxmlformats.org/officeDocument/2006/relationships/hyperlink" Target="mailto:nominations@aud.ntnu.no" TargetMode="External"/><Relationship Id="rId46" Type="http://schemas.openxmlformats.org/officeDocument/2006/relationships/hyperlink" Target="mailto:erasmus@uphf.fr" TargetMode="External"/><Relationship Id="rId67" Type="http://schemas.openxmlformats.org/officeDocument/2006/relationships/hyperlink" Target="mailto:erasmus.incomingoffice@uniparthenope.it" TargetMode="External"/><Relationship Id="rId116" Type="http://schemas.openxmlformats.org/officeDocument/2006/relationships/hyperlink" Target="mailto:ri@ensea.fr" TargetMode="External"/><Relationship Id="rId137" Type="http://schemas.openxmlformats.org/officeDocument/2006/relationships/printerSettings" Target="../printerSettings/printerSettings1.bin"/><Relationship Id="rId20" Type="http://schemas.openxmlformats.org/officeDocument/2006/relationships/hyperlink" Target="mailto:international@unina.it" TargetMode="External"/><Relationship Id="rId41" Type="http://schemas.openxmlformats.org/officeDocument/2006/relationships/hyperlink" Target="mailto:relint.incoming@insa-toulouse.fr" TargetMode="External"/><Relationship Id="rId62" Type="http://schemas.openxmlformats.org/officeDocument/2006/relationships/hyperlink" Target="mailto:mobilite@ulb.be;%20international.polytech@ulb.be;%20alice,hoslet@ulb,be" TargetMode="External"/><Relationship Id="rId83" Type="http://schemas.openxmlformats.org/officeDocument/2006/relationships/hyperlink" Target="mailto:delegacion.asia@upm.es" TargetMode="External"/><Relationship Id="rId88" Type="http://schemas.openxmlformats.org/officeDocument/2006/relationships/hyperlink" Target="mailto:eirini.papagiannouli@institutoptique.fr" TargetMode="External"/><Relationship Id="rId111" Type="http://schemas.openxmlformats.org/officeDocument/2006/relationships/hyperlink" Target="mailto:exchange@uni-kassel.de" TargetMode="External"/><Relationship Id="rId132" Type="http://schemas.openxmlformats.org/officeDocument/2006/relationships/hyperlink" Target="mailto:vstipechi@favaloro.edu.ar" TargetMode="External"/><Relationship Id="rId15" Type="http://schemas.openxmlformats.org/officeDocument/2006/relationships/hyperlink" Target="mailto:international.accueil@univ-nantes.fr" TargetMode="External"/><Relationship Id="rId36" Type="http://schemas.openxmlformats.org/officeDocument/2006/relationships/hyperlink" Target="mailto:international.office@oulu.fi" TargetMode="External"/><Relationship Id="rId57" Type="http://schemas.openxmlformats.org/officeDocument/2006/relationships/hyperlink" Target="mailto:erasmus@upmc.fr" TargetMode="External"/><Relationship Id="rId106" Type="http://schemas.openxmlformats.org/officeDocument/2006/relationships/hyperlink" Target="mailto:sac-exchange-out@epfl.ch,%20sac-exchange-in@epfl.ch" TargetMode="External"/><Relationship Id="rId127" Type="http://schemas.openxmlformats.org/officeDocument/2006/relationships/hyperlink" Target="mailto:luis.salgado@upm.es" TargetMode="External"/><Relationship Id="rId10" Type="http://schemas.openxmlformats.org/officeDocument/2006/relationships/hyperlink" Target="mailto:international@enib.fr;" TargetMode="External"/><Relationship Id="rId31" Type="http://schemas.openxmlformats.org/officeDocument/2006/relationships/hyperlink" Target="mailto:cerc@mta.ro" TargetMode="External"/><Relationship Id="rId52" Type="http://schemas.openxmlformats.org/officeDocument/2006/relationships/hyperlink" Target="mailto:mobil.in@uliege.be" TargetMode="External"/><Relationship Id="rId73" Type="http://schemas.openxmlformats.org/officeDocument/2006/relationships/hyperlink" Target="mailto:intweb@unb.br" TargetMode="External"/><Relationship Id="rId78" Type="http://schemas.openxmlformats.org/officeDocument/2006/relationships/hyperlink" Target="mailto:admissionsmasters@hec.fr" TargetMode="External"/><Relationship Id="rId94" Type="http://schemas.openxmlformats.org/officeDocument/2006/relationships/hyperlink" Target="mailto:Erasmus@unicampus.it" TargetMode="External"/><Relationship Id="rId99" Type="http://schemas.openxmlformats.org/officeDocument/2006/relationships/hyperlink" Target="mailto:incoming@centrale-marseille.fr" TargetMode="External"/><Relationship Id="rId101" Type="http://schemas.openxmlformats.org/officeDocument/2006/relationships/hyperlink" Target="mailto:erasmus@bme.hu" TargetMode="External"/><Relationship Id="rId122" Type="http://schemas.openxmlformats.org/officeDocument/2006/relationships/hyperlink" Target="mailto:axel.chang@utp.ac.pa" TargetMode="External"/><Relationship Id="rId4" Type="http://schemas.openxmlformats.org/officeDocument/2006/relationships/hyperlink" Target="mailto:exchangein@tuwien.ac.at" TargetMode="External"/><Relationship Id="rId9" Type="http://schemas.openxmlformats.org/officeDocument/2006/relationships/hyperlink" Target="mailto:iro@enseirb-matmeca.fr" TargetMode="External"/><Relationship Id="rId26" Type="http://schemas.openxmlformats.org/officeDocument/2006/relationships/hyperlink" Target="mailto:paula.lopes@tecnico.ulisboa.pt" TargetMode="External"/><Relationship Id="rId47" Type="http://schemas.openxmlformats.org/officeDocument/2006/relationships/hyperlink" Target="mailto:Daniel.Dassisi@mci.edu" TargetMode="External"/><Relationship Id="rId68" Type="http://schemas.openxmlformats.org/officeDocument/2006/relationships/hyperlink" Target="mailto:Misquita@illinoistech.edu" TargetMode="External"/><Relationship Id="rId89" Type="http://schemas.openxmlformats.org/officeDocument/2006/relationships/hyperlink" Target="mailto:infoerasmus@nku.edu.tr" TargetMode="External"/><Relationship Id="rId112" Type="http://schemas.openxmlformats.org/officeDocument/2006/relationships/hyperlink" Target="mailto:erasmus.incoming@tugraz.at" TargetMode="External"/><Relationship Id="rId133" Type="http://schemas.openxmlformats.org/officeDocument/2006/relationships/hyperlink" Target="mailto:misato.nozawa@adst.keio.ac.jp"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tudelft.nl/index.php?id=6755&amp;L=1" TargetMode="External"/><Relationship Id="rId2" Type="http://schemas.openxmlformats.org/officeDocument/2006/relationships/hyperlink" Target="http://www.tudelft.nl/index.php?id=6755&amp;L=1" TargetMode="External"/><Relationship Id="rId1" Type="http://schemas.openxmlformats.org/officeDocument/2006/relationships/hyperlink" Target="http://www.uni-ulm.de/io/exchange/studies.html" TargetMode="External"/><Relationship Id="rId4" Type="http://schemas.openxmlformats.org/officeDocument/2006/relationships/hyperlink" Target="mailto:exchange-eemcs@tudelft.nl"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angelica.nivia@polytechnique.edu" TargetMode="External"/><Relationship Id="rId1" Type="http://schemas.openxmlformats.org/officeDocument/2006/relationships/hyperlink" Target="http://www.vu.nl/en/programmes/exchange/courses/index.aspx"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incoming@hcu-hamburg.d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L243"/>
  <sheetViews>
    <sheetView tabSelected="1" zoomScale="112" zoomScaleNormal="115" workbookViewId="0">
      <pane xSplit="2" topLeftCell="G1" activePane="topRight" state="frozen"/>
      <selection pane="topRight" activeCell="G137" sqref="G137"/>
    </sheetView>
  </sheetViews>
  <sheetFormatPr defaultColWidth="11.42578125" defaultRowHeight="15" customHeight="1" outlineLevelCol="1"/>
  <cols>
    <col min="1" max="1" width="12.140625" style="2" customWidth="1"/>
    <col min="2" max="2" width="61.28515625" style="2" customWidth="1"/>
    <col min="3" max="3" width="36.28515625" style="253" customWidth="1"/>
    <col min="4" max="4" width="17.42578125" style="246" customWidth="1"/>
    <col min="5" max="5" width="19.85546875" style="9" customWidth="1"/>
    <col min="6" max="6" width="8.28515625" style="226" customWidth="1"/>
    <col min="7" max="7" width="15.42578125" style="9" customWidth="1"/>
    <col min="8" max="8" width="46.7109375" style="9" customWidth="1" outlineLevel="1"/>
    <col min="9" max="9" width="30.140625" style="9" customWidth="1" outlineLevel="1"/>
    <col min="10" max="10" width="33.7109375" style="4" customWidth="1" outlineLevel="1"/>
    <col min="11" max="11" width="50.85546875" style="9" customWidth="1" outlineLevel="1"/>
    <col min="12" max="12" width="30.140625" style="10" customWidth="1" outlineLevel="1"/>
    <col min="13" max="13" width="33.7109375" style="10" customWidth="1" outlineLevel="1"/>
    <col min="14" max="14" width="13.5703125" style="10" customWidth="1"/>
    <col min="15" max="15" width="21.28515625" style="10" customWidth="1" outlineLevel="1"/>
    <col min="16" max="16" width="17.140625" style="10" customWidth="1" outlineLevel="1"/>
    <col min="17" max="17" width="17.85546875" style="10" customWidth="1" outlineLevel="1"/>
    <col min="18" max="18" width="21.42578125" style="10" customWidth="1" outlineLevel="1"/>
    <col min="19" max="19" width="60.42578125" style="59" customWidth="1" outlineLevel="1"/>
    <col min="20" max="20" width="22" style="62" customWidth="1"/>
    <col min="21" max="21" width="12.85546875" style="37" bestFit="1" customWidth="1"/>
    <col min="22" max="22" width="9.5703125" style="37" customWidth="1"/>
    <col min="23" max="23" width="36.28515625" style="37" customWidth="1"/>
    <col min="24" max="24" width="25" style="10" customWidth="1"/>
    <col min="25" max="25" width="11.140625" style="10" customWidth="1"/>
    <col min="26" max="27" width="8.85546875" style="10" customWidth="1"/>
    <col min="28" max="28" width="10.85546875" style="10" customWidth="1"/>
    <col min="29" max="30" width="11.140625" style="10" customWidth="1"/>
    <col min="31" max="34" width="7.85546875" style="10" customWidth="1"/>
    <col min="35" max="36" width="10.140625" style="10" customWidth="1"/>
    <col min="37" max="37" width="8.5703125" style="10" customWidth="1"/>
    <col min="38" max="38" width="10.85546875" style="10" customWidth="1"/>
    <col min="39" max="39" width="8" style="10" customWidth="1"/>
    <col min="40" max="40" width="8.7109375" style="10" customWidth="1"/>
    <col min="41" max="41" width="26.28515625" style="10" customWidth="1"/>
    <col min="42" max="42" width="16.28515625" style="10" customWidth="1"/>
    <col min="43" max="43" width="8.7109375" style="10" customWidth="1"/>
    <col min="44" max="44" width="14.28515625" style="2" customWidth="1"/>
    <col min="45" max="46" width="82.7109375" style="5" customWidth="1"/>
    <col min="47" max="47" width="114.42578125" style="3" customWidth="1"/>
    <col min="48" max="48" width="106.7109375" style="2" customWidth="1"/>
    <col min="49" max="49" width="16.7109375" style="2" customWidth="1"/>
    <col min="50" max="50" width="24" style="2" bestFit="1" customWidth="1"/>
    <col min="51" max="51" width="40" style="2" customWidth="1"/>
    <col min="52" max="52" width="54.85546875" style="2" customWidth="1"/>
    <col min="53" max="53" width="50.7109375" style="2" customWidth="1"/>
    <col min="54" max="54" width="27.5703125" style="2" bestFit="1" customWidth="1"/>
    <col min="55" max="55" width="50.7109375" style="2" customWidth="1"/>
    <col min="56" max="56" width="63.5703125" style="129" customWidth="1"/>
    <col min="57" max="57" width="41.42578125" style="129" customWidth="1"/>
    <col min="58" max="58" width="80.28515625" style="133" bestFit="1" customWidth="1"/>
    <col min="59" max="59" width="41.5703125" style="2" customWidth="1"/>
    <col min="60" max="16384" width="11.42578125" style="2"/>
  </cols>
  <sheetData>
    <row r="1" spans="1:64" s="173" customFormat="1" ht="70.5" customHeight="1">
      <c r="A1" s="173" t="s">
        <v>0</v>
      </c>
      <c r="B1" s="308" t="s">
        <v>1</v>
      </c>
      <c r="C1" s="309" t="s">
        <v>2</v>
      </c>
      <c r="D1" s="310" t="s">
        <v>3</v>
      </c>
      <c r="E1" s="311" t="s">
        <v>4</v>
      </c>
      <c r="F1" s="311" t="s">
        <v>5</v>
      </c>
      <c r="G1" s="311" t="s">
        <v>6</v>
      </c>
      <c r="H1" s="312" t="s">
        <v>7</v>
      </c>
      <c r="I1" s="312" t="s">
        <v>8</v>
      </c>
      <c r="J1" s="312" t="s">
        <v>9</v>
      </c>
      <c r="K1" s="313" t="s">
        <v>10</v>
      </c>
      <c r="L1" s="313" t="s">
        <v>11</v>
      </c>
      <c r="M1" s="313" t="s">
        <v>12</v>
      </c>
      <c r="N1" s="311" t="s">
        <v>13</v>
      </c>
      <c r="O1" s="361" t="s">
        <v>14</v>
      </c>
      <c r="P1" s="179" t="s">
        <v>15</v>
      </c>
      <c r="Q1" s="179" t="s">
        <v>16</v>
      </c>
      <c r="R1" s="179" t="s">
        <v>17</v>
      </c>
      <c r="S1" s="314" t="s">
        <v>18</v>
      </c>
      <c r="T1" s="56" t="s">
        <v>19</v>
      </c>
      <c r="U1" s="162" t="s">
        <v>20</v>
      </c>
      <c r="V1" s="162" t="s">
        <v>21</v>
      </c>
      <c r="W1" s="162" t="s">
        <v>22</v>
      </c>
      <c r="X1" s="162" t="s">
        <v>23</v>
      </c>
      <c r="Y1" s="308" t="s">
        <v>24</v>
      </c>
      <c r="Z1" s="315" t="s">
        <v>25</v>
      </c>
      <c r="AA1" s="315" t="s">
        <v>26</v>
      </c>
      <c r="AB1" s="315" t="s">
        <v>27</v>
      </c>
      <c r="AC1" s="312" t="s">
        <v>28</v>
      </c>
      <c r="AD1" s="377" t="s">
        <v>29</v>
      </c>
      <c r="AE1" s="315" t="s">
        <v>30</v>
      </c>
      <c r="AF1" s="315" t="s">
        <v>31</v>
      </c>
      <c r="AG1" s="315" t="s">
        <v>32</v>
      </c>
      <c r="AH1" s="315" t="s">
        <v>33</v>
      </c>
      <c r="AI1" s="315" t="s">
        <v>34</v>
      </c>
      <c r="AJ1" s="315" t="s">
        <v>35</v>
      </c>
      <c r="AK1" s="315" t="s">
        <v>36</v>
      </c>
      <c r="AL1" s="315" t="s">
        <v>37</v>
      </c>
      <c r="AM1" s="315" t="s">
        <v>38</v>
      </c>
      <c r="AN1" s="315" t="s">
        <v>39</v>
      </c>
      <c r="AO1" s="312" t="s">
        <v>40</v>
      </c>
      <c r="AP1" s="312" t="s">
        <v>41</v>
      </c>
      <c r="AQ1" s="312" t="s">
        <v>42</v>
      </c>
      <c r="AR1" s="312" t="s">
        <v>43</v>
      </c>
      <c r="AS1" s="311" t="s">
        <v>44</v>
      </c>
      <c r="AT1" s="377" t="s">
        <v>45</v>
      </c>
      <c r="AU1" s="316" t="s">
        <v>46</v>
      </c>
      <c r="AV1" s="56" t="s">
        <v>47</v>
      </c>
      <c r="AW1" s="56" t="s">
        <v>48</v>
      </c>
      <c r="AX1" s="56" t="s">
        <v>49</v>
      </c>
      <c r="AY1" s="56" t="s">
        <v>50</v>
      </c>
      <c r="AZ1" s="56" t="s">
        <v>51</v>
      </c>
      <c r="BA1" s="56" t="s">
        <v>52</v>
      </c>
      <c r="BB1" s="56" t="s">
        <v>53</v>
      </c>
      <c r="BC1" s="56" t="s">
        <v>54</v>
      </c>
      <c r="BD1" s="56" t="s">
        <v>55</v>
      </c>
      <c r="BE1" s="317" t="s">
        <v>56</v>
      </c>
      <c r="BF1" s="317" t="s">
        <v>57</v>
      </c>
      <c r="BG1" s="318" t="s">
        <v>58</v>
      </c>
      <c r="BH1" s="13"/>
      <c r="BI1" s="19"/>
      <c r="BJ1" s="19"/>
      <c r="BK1" s="19"/>
      <c r="BL1" s="19"/>
    </row>
    <row r="2" spans="1:64" s="19" customFormat="1" ht="20.100000000000001" hidden="1" customHeight="1">
      <c r="A2" s="357">
        <v>1</v>
      </c>
      <c r="B2" s="72" t="s">
        <v>59</v>
      </c>
      <c r="C2" s="252" t="s">
        <v>59</v>
      </c>
      <c r="D2" s="63" t="s">
        <v>60</v>
      </c>
      <c r="E2" s="6" t="s">
        <v>61</v>
      </c>
      <c r="F2" s="6" t="s">
        <v>62</v>
      </c>
      <c r="G2" s="6"/>
      <c r="H2" s="209" t="s">
        <v>63</v>
      </c>
      <c r="I2" s="216" t="s">
        <v>64</v>
      </c>
      <c r="J2" s="216" t="s">
        <v>65</v>
      </c>
      <c r="K2" s="209" t="s">
        <v>66</v>
      </c>
      <c r="L2" s="216" t="s">
        <v>67</v>
      </c>
      <c r="M2" s="216" t="s">
        <v>68</v>
      </c>
      <c r="N2" s="6" t="s">
        <v>69</v>
      </c>
      <c r="O2" s="6"/>
      <c r="P2" s="6"/>
      <c r="Q2" s="6" t="s">
        <v>70</v>
      </c>
      <c r="R2" s="6" t="s">
        <v>70</v>
      </c>
      <c r="S2" s="150" t="s">
        <v>71</v>
      </c>
      <c r="T2" s="6" t="s">
        <v>72</v>
      </c>
      <c r="U2" s="36">
        <v>3</v>
      </c>
      <c r="V2" s="36">
        <v>10</v>
      </c>
      <c r="W2" s="36" t="s">
        <v>73</v>
      </c>
      <c r="X2" s="36" t="s">
        <v>74</v>
      </c>
      <c r="Y2" s="6" t="s">
        <v>75</v>
      </c>
      <c r="Z2" s="6" t="s">
        <v>75</v>
      </c>
      <c r="AA2" s="6" t="s">
        <v>75</v>
      </c>
      <c r="AB2" s="6" t="s">
        <v>75</v>
      </c>
      <c r="AC2" s="6" t="s">
        <v>75</v>
      </c>
      <c r="AD2" s="6" t="str">
        <f>_xlfn.TEXTJOIN("/",TRUE,IF(OfertaPlazas[[#This Row],[GITST]]="SI","GITST",""),IF(OfertaPlazas[[#This Row],[GIB]]="SI","GIB",""),IF(OfertaPlazas[[#This Row],[GISD]]="SI","GISD",""),IF(OfertaPlazas[[#This Row],[MASTER]]="SI","MASTER",""))</f>
        <v>GITST/GIB/GISD/MASTER</v>
      </c>
      <c r="AE2" s="16" t="s">
        <v>75</v>
      </c>
      <c r="AF2" s="16" t="s">
        <v>75</v>
      </c>
      <c r="AG2" s="16" t="s">
        <v>75</v>
      </c>
      <c r="AH2" s="16" t="s">
        <v>75</v>
      </c>
      <c r="AI2" s="16" t="s">
        <v>75</v>
      </c>
      <c r="AJ2" s="16" t="s">
        <v>75</v>
      </c>
      <c r="AK2" s="16" t="s">
        <v>75</v>
      </c>
      <c r="AL2" s="16" t="s">
        <v>75</v>
      </c>
      <c r="AM2" s="16" t="s">
        <v>75</v>
      </c>
      <c r="AN2" s="16" t="s">
        <v>75</v>
      </c>
      <c r="AO2" s="6" t="s">
        <v>75</v>
      </c>
      <c r="AP2" s="6" t="s">
        <v>75</v>
      </c>
      <c r="AQ2" s="6" t="s">
        <v>75</v>
      </c>
      <c r="AR2" s="6" t="s">
        <v>76</v>
      </c>
      <c r="AS2" s="27" t="s">
        <v>77</v>
      </c>
      <c r="AT2" s="301" t="s">
        <v>78</v>
      </c>
      <c r="AU2" s="72" t="s">
        <v>79</v>
      </c>
      <c r="AV2" s="13" t="s">
        <v>80</v>
      </c>
      <c r="AW2" s="13" t="s">
        <v>48</v>
      </c>
      <c r="AX2" s="13" t="s">
        <v>48</v>
      </c>
      <c r="AY2" s="13" t="s">
        <v>81</v>
      </c>
      <c r="AZ2" s="13" t="s">
        <v>82</v>
      </c>
      <c r="BA2" s="13" t="s">
        <v>83</v>
      </c>
      <c r="BB2" s="13"/>
      <c r="BC2" s="13" t="s">
        <v>84</v>
      </c>
      <c r="BD2" s="13"/>
      <c r="BE2" s="319">
        <f>VLOOKUP(B2,'TEAMS_30-09-2021'!$D:$AG,30,FALSE)</f>
        <v>0</v>
      </c>
      <c r="BF2" s="319" t="e">
        <f>VLOOKUP(B2,'ENCUESTAS JUN-2021'!I:I,1,FALSE)</f>
        <v>#N/A</v>
      </c>
      <c r="BG2" s="63" t="str">
        <f>VLOOKUP(B2,'TEAMS_30-09-2021'!D:D,1,FALSE)</f>
        <v>Technische Universität Graz</v>
      </c>
      <c r="BH2" s="13"/>
    </row>
    <row r="3" spans="1:64" s="19" customFormat="1" ht="20.100000000000001" hidden="1" customHeight="1">
      <c r="A3" s="357">
        <v>2</v>
      </c>
      <c r="B3" s="72" t="s">
        <v>85</v>
      </c>
      <c r="C3" s="252" t="s">
        <v>86</v>
      </c>
      <c r="D3" s="63" t="s">
        <v>60</v>
      </c>
      <c r="E3" s="6" t="s">
        <v>87</v>
      </c>
      <c r="F3" s="6" t="s">
        <v>62</v>
      </c>
      <c r="G3" s="6"/>
      <c r="H3" s="209" t="s">
        <v>88</v>
      </c>
      <c r="I3" s="216" t="s">
        <v>89</v>
      </c>
      <c r="J3" s="216" t="s">
        <v>90</v>
      </c>
      <c r="K3" s="209" t="s">
        <v>91</v>
      </c>
      <c r="L3" s="216" t="s">
        <v>68</v>
      </c>
      <c r="M3" s="216" t="s">
        <v>92</v>
      </c>
      <c r="N3" s="6" t="s">
        <v>69</v>
      </c>
      <c r="O3" s="6"/>
      <c r="P3" s="6" t="s">
        <v>70</v>
      </c>
      <c r="Q3" s="6"/>
      <c r="R3" s="6"/>
      <c r="S3" s="150" t="s">
        <v>93</v>
      </c>
      <c r="T3" s="6" t="s">
        <v>72</v>
      </c>
      <c r="U3" s="36">
        <v>2</v>
      </c>
      <c r="V3" s="36">
        <v>10</v>
      </c>
      <c r="W3" s="36" t="s">
        <v>94</v>
      </c>
      <c r="X3" s="36" t="s">
        <v>95</v>
      </c>
      <c r="Y3" s="6" t="s">
        <v>75</v>
      </c>
      <c r="Z3" s="6" t="s">
        <v>75</v>
      </c>
      <c r="AA3" s="6" t="s">
        <v>76</v>
      </c>
      <c r="AB3" s="6" t="s">
        <v>76</v>
      </c>
      <c r="AC3" s="6" t="s">
        <v>75</v>
      </c>
      <c r="AD3" s="6" t="str">
        <f>_xlfn.TEXTJOIN("/",TRUE,IF(OfertaPlazas[[#This Row],[GITST]]="SI","GITST",""),IF(OfertaPlazas[[#This Row],[GIB]]="SI","GIB",""),IF(OfertaPlazas[[#This Row],[GISD]]="SI","GISD",""),IF(OfertaPlazas[[#This Row],[MASTER]]="SI","MASTER",""))</f>
        <v>GITST/MASTER</v>
      </c>
      <c r="AE3" s="6" t="s">
        <v>75</v>
      </c>
      <c r="AF3" s="6" t="s">
        <v>75</v>
      </c>
      <c r="AG3" s="6" t="s">
        <v>75</v>
      </c>
      <c r="AH3" s="6" t="s">
        <v>75</v>
      </c>
      <c r="AI3" s="6" t="s">
        <v>75</v>
      </c>
      <c r="AJ3" s="6" t="s">
        <v>75</v>
      </c>
      <c r="AK3" s="6" t="s">
        <v>75</v>
      </c>
      <c r="AL3" s="6" t="s">
        <v>75</v>
      </c>
      <c r="AM3" s="6" t="s">
        <v>75</v>
      </c>
      <c r="AN3" s="6" t="s">
        <v>75</v>
      </c>
      <c r="AO3" s="6" t="s">
        <v>75</v>
      </c>
      <c r="AP3" s="6" t="s">
        <v>75</v>
      </c>
      <c r="AQ3" s="6" t="s">
        <v>75</v>
      </c>
      <c r="AR3" s="6" t="s">
        <v>76</v>
      </c>
      <c r="AS3" s="27" t="s">
        <v>77</v>
      </c>
      <c r="AT3" s="301"/>
      <c r="AU3" s="259" t="s">
        <v>96</v>
      </c>
      <c r="AV3" s="13" t="s">
        <v>97</v>
      </c>
      <c r="AW3" s="13"/>
      <c r="AX3" s="13"/>
      <c r="AY3" s="13"/>
      <c r="AZ3" s="13"/>
      <c r="BA3" s="13"/>
      <c r="BB3" s="13"/>
      <c r="BC3" s="13"/>
      <c r="BD3" s="13"/>
      <c r="BE3" s="319"/>
      <c r="BF3" s="319"/>
      <c r="BG3" s="63"/>
      <c r="BH3" s="71"/>
      <c r="BI3" s="7"/>
    </row>
    <row r="4" spans="1:64" s="19" customFormat="1" ht="20.100000000000001" hidden="1" customHeight="1">
      <c r="A4" s="357">
        <v>3</v>
      </c>
      <c r="B4" s="72" t="s">
        <v>98</v>
      </c>
      <c r="C4" s="252" t="s">
        <v>99</v>
      </c>
      <c r="D4" s="240" t="s">
        <v>100</v>
      </c>
      <c r="E4" s="296" t="s">
        <v>101</v>
      </c>
      <c r="F4" s="26" t="s">
        <v>62</v>
      </c>
      <c r="G4" s="6"/>
      <c r="H4" s="211" t="s">
        <v>102</v>
      </c>
      <c r="I4" s="306" t="s">
        <v>103</v>
      </c>
      <c r="J4" s="306" t="s">
        <v>104</v>
      </c>
      <c r="K4" s="211" t="s">
        <v>105</v>
      </c>
      <c r="L4" s="306" t="s">
        <v>106</v>
      </c>
      <c r="M4" s="306" t="s">
        <v>68</v>
      </c>
      <c r="N4" s="6" t="s">
        <v>69</v>
      </c>
      <c r="O4" s="181"/>
      <c r="P4" s="6" t="s">
        <v>70</v>
      </c>
      <c r="Q4" s="6" t="s">
        <v>70</v>
      </c>
      <c r="R4" s="6" t="s">
        <v>70</v>
      </c>
      <c r="S4" s="150" t="s">
        <v>107</v>
      </c>
      <c r="T4" s="6" t="s">
        <v>72</v>
      </c>
      <c r="U4" s="60">
        <v>2</v>
      </c>
      <c r="V4" s="60">
        <v>10</v>
      </c>
      <c r="W4" s="36" t="s">
        <v>108</v>
      </c>
      <c r="X4" s="36" t="s">
        <v>109</v>
      </c>
      <c r="Y4" s="6" t="s">
        <v>75</v>
      </c>
      <c r="Z4" s="6" t="s">
        <v>75</v>
      </c>
      <c r="AA4" s="26" t="s">
        <v>75</v>
      </c>
      <c r="AB4" s="6" t="s">
        <v>75</v>
      </c>
      <c r="AC4" s="6" t="s">
        <v>75</v>
      </c>
      <c r="AD4" s="6" t="str">
        <f>_xlfn.TEXTJOIN("/",TRUE,IF(OfertaPlazas[[#This Row],[GITST]]="SI","GITST",""),IF(OfertaPlazas[[#This Row],[GIB]]="SI","GIB",""),IF(OfertaPlazas[[#This Row],[GISD]]="SI","GISD",""),IF(OfertaPlazas[[#This Row],[MASTER]]="SI","MASTER",""))</f>
        <v>GITST/GIB/GISD/MASTER</v>
      </c>
      <c r="AE4" s="6" t="s">
        <v>75</v>
      </c>
      <c r="AF4" s="6" t="s">
        <v>76</v>
      </c>
      <c r="AG4" s="6" t="s">
        <v>76</v>
      </c>
      <c r="AH4" s="6" t="s">
        <v>75</v>
      </c>
      <c r="AI4" s="6" t="s">
        <v>76</v>
      </c>
      <c r="AJ4" s="6" t="s">
        <v>75</v>
      </c>
      <c r="AK4" s="6" t="s">
        <v>76</v>
      </c>
      <c r="AL4" s="6" t="s">
        <v>76</v>
      </c>
      <c r="AM4" s="6" t="s">
        <v>76</v>
      </c>
      <c r="AN4" s="6" t="s">
        <v>75</v>
      </c>
      <c r="AO4" s="6" t="s">
        <v>75</v>
      </c>
      <c r="AP4" s="6" t="s">
        <v>75</v>
      </c>
      <c r="AQ4" s="6" t="s">
        <v>75</v>
      </c>
      <c r="AR4" s="6" t="s">
        <v>76</v>
      </c>
      <c r="AS4" s="301" t="s">
        <v>110</v>
      </c>
      <c r="AT4" s="301" t="s">
        <v>111</v>
      </c>
      <c r="AU4" s="259" t="s">
        <v>112</v>
      </c>
      <c r="AV4" s="13" t="s">
        <v>113</v>
      </c>
      <c r="AW4" s="182"/>
      <c r="AX4" s="182"/>
      <c r="AY4" s="182"/>
      <c r="AZ4" s="182"/>
      <c r="BA4" s="182"/>
      <c r="BB4" s="182"/>
      <c r="BC4" s="182"/>
      <c r="BD4" s="182"/>
      <c r="BE4" s="182"/>
      <c r="BF4" s="182"/>
      <c r="BG4" s="338"/>
      <c r="BH4" s="71"/>
      <c r="BI4" s="7"/>
    </row>
    <row r="5" spans="1:64" s="183" customFormat="1" ht="20.100000000000001" hidden="1" customHeight="1">
      <c r="A5" s="357">
        <v>4</v>
      </c>
      <c r="B5" s="72" t="s">
        <v>114</v>
      </c>
      <c r="C5" s="252" t="s">
        <v>114</v>
      </c>
      <c r="D5" s="63" t="s">
        <v>115</v>
      </c>
      <c r="E5" s="54" t="s">
        <v>116</v>
      </c>
      <c r="F5" s="6" t="s">
        <v>62</v>
      </c>
      <c r="G5" s="181"/>
      <c r="H5" s="209" t="s">
        <v>117</v>
      </c>
      <c r="I5" s="216" t="s">
        <v>118</v>
      </c>
      <c r="J5" s="216" t="s">
        <v>119</v>
      </c>
      <c r="K5" s="209" t="s">
        <v>120</v>
      </c>
      <c r="L5" s="216" t="s">
        <v>121</v>
      </c>
      <c r="M5" s="216" t="s">
        <v>122</v>
      </c>
      <c r="N5" s="6" t="s">
        <v>69</v>
      </c>
      <c r="O5" s="6"/>
      <c r="P5" s="6" t="s">
        <v>70</v>
      </c>
      <c r="Q5" s="6"/>
      <c r="R5" s="6" t="s">
        <v>70</v>
      </c>
      <c r="S5" s="150" t="s">
        <v>123</v>
      </c>
      <c r="T5" s="6" t="s">
        <v>72</v>
      </c>
      <c r="U5" s="36">
        <v>4</v>
      </c>
      <c r="V5" s="36">
        <v>10</v>
      </c>
      <c r="W5" s="36" t="s">
        <v>124</v>
      </c>
      <c r="X5" s="36" t="s">
        <v>125</v>
      </c>
      <c r="Y5" s="6" t="s">
        <v>75</v>
      </c>
      <c r="Z5" s="6" t="s">
        <v>75</v>
      </c>
      <c r="AA5" s="6" t="s">
        <v>76</v>
      </c>
      <c r="AB5" s="6" t="s">
        <v>76</v>
      </c>
      <c r="AC5" s="6" t="s">
        <v>75</v>
      </c>
      <c r="AD5" s="6" t="str">
        <f>_xlfn.TEXTJOIN("/",TRUE,IF(OfertaPlazas[[#This Row],[GITST]]="SI","GITST",""),IF(OfertaPlazas[[#This Row],[GIB]]="SI","GIB",""),IF(OfertaPlazas[[#This Row],[GISD]]="SI","GISD",""),IF(OfertaPlazas[[#This Row],[MASTER]]="SI","MASTER",""))</f>
        <v>GITST/MASTER</v>
      </c>
      <c r="AE5" s="16" t="s">
        <v>75</v>
      </c>
      <c r="AF5" s="16" t="s">
        <v>75</v>
      </c>
      <c r="AG5" s="16" t="s">
        <v>75</v>
      </c>
      <c r="AH5" s="16" t="s">
        <v>75</v>
      </c>
      <c r="AI5" s="16" t="s">
        <v>75</v>
      </c>
      <c r="AJ5" s="16" t="s">
        <v>75</v>
      </c>
      <c r="AK5" s="16" t="s">
        <v>75</v>
      </c>
      <c r="AL5" s="16" t="s">
        <v>75</v>
      </c>
      <c r="AM5" s="16" t="s">
        <v>75</v>
      </c>
      <c r="AN5" s="16" t="s">
        <v>75</v>
      </c>
      <c r="AO5" s="6" t="s">
        <v>75</v>
      </c>
      <c r="AP5" s="6" t="s">
        <v>75</v>
      </c>
      <c r="AQ5" s="6" t="s">
        <v>75</v>
      </c>
      <c r="AR5" s="6" t="s">
        <v>76</v>
      </c>
      <c r="AS5" s="301" t="s">
        <v>126</v>
      </c>
      <c r="AT5" s="301" t="s">
        <v>127</v>
      </c>
      <c r="AU5" s="259" t="s">
        <v>128</v>
      </c>
      <c r="AV5" s="13" t="s">
        <v>80</v>
      </c>
      <c r="AW5" s="13"/>
      <c r="AX5" s="13"/>
      <c r="AY5" s="13" t="s">
        <v>129</v>
      </c>
      <c r="AZ5" s="13" t="s">
        <v>130</v>
      </c>
      <c r="BA5" s="13"/>
      <c r="BB5" s="13"/>
      <c r="BC5" s="13" t="s">
        <v>131</v>
      </c>
      <c r="BD5" s="13" t="s">
        <v>132</v>
      </c>
      <c r="BE5" s="319" t="str">
        <f>VLOOKUP(B5,'TEAMS_30-09-2021'!$D:$AG,30,FALSE)</f>
        <v>se añade el área de bio acordado con TU Wien</v>
      </c>
      <c r="BF5" s="319" t="e">
        <f>VLOOKUP(B5,'ENCUESTAS JUN-2021'!I:I,1,FALSE)</f>
        <v>#N/A</v>
      </c>
      <c r="BG5" s="63" t="str">
        <f>VLOOKUP(B5,'TEAMS_30-09-2021'!D:D,1,FALSE)</f>
        <v>Technische Universität Wien</v>
      </c>
      <c r="BH5" s="71"/>
      <c r="BI5" s="7"/>
    </row>
    <row r="6" spans="1:64" s="19" customFormat="1" ht="20.100000000000001" hidden="1" customHeight="1">
      <c r="A6" s="357">
        <v>5</v>
      </c>
      <c r="B6" s="72" t="s">
        <v>133</v>
      </c>
      <c r="C6" s="252" t="s">
        <v>134</v>
      </c>
      <c r="D6" s="63" t="s">
        <v>135</v>
      </c>
      <c r="E6" s="6" t="s">
        <v>136</v>
      </c>
      <c r="F6" s="6" t="s">
        <v>137</v>
      </c>
      <c r="G6" s="6"/>
      <c r="H6" s="209" t="s">
        <v>138</v>
      </c>
      <c r="I6" s="216" t="s">
        <v>139</v>
      </c>
      <c r="J6" s="216" t="s">
        <v>89</v>
      </c>
      <c r="K6" s="209" t="s">
        <v>140</v>
      </c>
      <c r="L6" s="216" t="s">
        <v>141</v>
      </c>
      <c r="M6" s="216" t="s">
        <v>142</v>
      </c>
      <c r="N6" s="6" t="s">
        <v>69</v>
      </c>
      <c r="O6" s="6"/>
      <c r="P6" s="6" t="s">
        <v>70</v>
      </c>
      <c r="Q6" s="6"/>
      <c r="R6" s="6" t="s">
        <v>70</v>
      </c>
      <c r="S6" s="150" t="s">
        <v>123</v>
      </c>
      <c r="T6" s="6" t="s">
        <v>72</v>
      </c>
      <c r="U6" s="36">
        <v>2</v>
      </c>
      <c r="V6" s="36">
        <v>12</v>
      </c>
      <c r="W6" s="36" t="s">
        <v>143</v>
      </c>
      <c r="X6" s="36" t="s">
        <v>144</v>
      </c>
      <c r="Y6" s="6" t="s">
        <v>75</v>
      </c>
      <c r="Z6" s="6" t="s">
        <v>75</v>
      </c>
      <c r="AA6" s="6" t="s">
        <v>75</v>
      </c>
      <c r="AB6" s="6" t="s">
        <v>76</v>
      </c>
      <c r="AC6" s="6" t="s">
        <v>75</v>
      </c>
      <c r="AD6" s="6" t="str">
        <f>_xlfn.TEXTJOIN("/",TRUE,IF(OfertaPlazas[[#This Row],[GITST]]="SI","GITST",""),IF(OfertaPlazas[[#This Row],[GIB]]="SI","GIB",""),IF(OfertaPlazas[[#This Row],[GISD]]="SI","GISD",""),IF(OfertaPlazas[[#This Row],[MASTER]]="SI","MASTER",""))</f>
        <v>GITST/GIB/MASTER</v>
      </c>
      <c r="AE6" s="16" t="s">
        <v>75</v>
      </c>
      <c r="AF6" s="16" t="s">
        <v>75</v>
      </c>
      <c r="AG6" s="16" t="s">
        <v>75</v>
      </c>
      <c r="AH6" s="16" t="s">
        <v>75</v>
      </c>
      <c r="AI6" s="16" t="s">
        <v>75</v>
      </c>
      <c r="AJ6" s="16" t="s">
        <v>75</v>
      </c>
      <c r="AK6" s="16" t="s">
        <v>75</v>
      </c>
      <c r="AL6" s="16" t="s">
        <v>75</v>
      </c>
      <c r="AM6" s="16" t="s">
        <v>75</v>
      </c>
      <c r="AN6" s="16" t="s">
        <v>76</v>
      </c>
      <c r="AO6" s="6" t="s">
        <v>75</v>
      </c>
      <c r="AP6" s="6" t="s">
        <v>75</v>
      </c>
      <c r="AQ6" s="6" t="s">
        <v>75</v>
      </c>
      <c r="AR6" s="6" t="s">
        <v>76</v>
      </c>
      <c r="AS6" s="27" t="s">
        <v>145</v>
      </c>
      <c r="AT6" s="301"/>
      <c r="AU6" s="13" t="s">
        <v>146</v>
      </c>
      <c r="AV6" s="13" t="s">
        <v>80</v>
      </c>
      <c r="AW6" s="13"/>
      <c r="AX6" s="13"/>
      <c r="AY6" s="13" t="s">
        <v>129</v>
      </c>
      <c r="AZ6" s="13" t="s">
        <v>147</v>
      </c>
      <c r="BA6" s="13"/>
      <c r="BB6" s="13"/>
      <c r="BC6" s="13" t="s">
        <v>131</v>
      </c>
      <c r="BD6" s="13" t="s">
        <v>148</v>
      </c>
      <c r="BE6" s="319" t="e">
        <f>VLOOKUP(B6,'TEAMS_30-09-2021'!$D:$AG,30,FALSE)</f>
        <v>#N/A</v>
      </c>
      <c r="BF6" s="319" t="e">
        <f>VLOOKUP(B6,'ENCUESTAS JUN-2021'!I:I,1,FALSE)</f>
        <v>#N/A</v>
      </c>
      <c r="BG6" s="63" t="e">
        <f>VLOOKUP(B6,'TEAMS_30-09-2021'!D:D,1,FALSE)</f>
        <v>#N/A</v>
      </c>
      <c r="BH6" s="13"/>
      <c r="BL6" s="19" t="e">
        <f>VLOOKUP(E6,#REF!,1,FALSE)</f>
        <v>#REF!</v>
      </c>
    </row>
    <row r="7" spans="1:64" s="19" customFormat="1" ht="20.100000000000001" hidden="1" customHeight="1">
      <c r="A7" s="357">
        <v>6</v>
      </c>
      <c r="B7" s="72" t="s">
        <v>149</v>
      </c>
      <c r="C7" s="252" t="s">
        <v>149</v>
      </c>
      <c r="D7" s="63" t="s">
        <v>150</v>
      </c>
      <c r="E7" s="6" t="s">
        <v>151</v>
      </c>
      <c r="F7" s="6" t="s">
        <v>137</v>
      </c>
      <c r="G7" s="6"/>
      <c r="H7" s="209" t="s">
        <v>152</v>
      </c>
      <c r="I7" s="216" t="s">
        <v>153</v>
      </c>
      <c r="J7" s="216" t="s">
        <v>139</v>
      </c>
      <c r="K7" s="209" t="s">
        <v>154</v>
      </c>
      <c r="L7" s="216" t="s">
        <v>141</v>
      </c>
      <c r="M7" s="216" t="s">
        <v>92</v>
      </c>
      <c r="N7" s="6" t="s">
        <v>69</v>
      </c>
      <c r="O7" s="6"/>
      <c r="P7" s="6" t="s">
        <v>70</v>
      </c>
      <c r="Q7" s="6"/>
      <c r="R7" s="6" t="s">
        <v>70</v>
      </c>
      <c r="S7" s="150" t="s">
        <v>123</v>
      </c>
      <c r="T7" s="6" t="s">
        <v>72</v>
      </c>
      <c r="U7" s="36">
        <v>4</v>
      </c>
      <c r="V7" s="36">
        <v>12</v>
      </c>
      <c r="W7" s="36" t="s">
        <v>155</v>
      </c>
      <c r="X7" s="36" t="s">
        <v>156</v>
      </c>
      <c r="Y7" s="6" t="s">
        <v>75</v>
      </c>
      <c r="Z7" s="6" t="s">
        <v>75</v>
      </c>
      <c r="AA7" s="6" t="s">
        <v>75</v>
      </c>
      <c r="AB7" s="6" t="s">
        <v>76</v>
      </c>
      <c r="AC7" s="6" t="s">
        <v>75</v>
      </c>
      <c r="AD7" s="6" t="str">
        <f>_xlfn.TEXTJOIN("/",TRUE,IF(OfertaPlazas[[#This Row],[GITST]]="SI","GITST",""),IF(OfertaPlazas[[#This Row],[GIB]]="SI","GIB",""),IF(OfertaPlazas[[#This Row],[GISD]]="SI","GISD",""),IF(OfertaPlazas[[#This Row],[MASTER]]="SI","MASTER",""))</f>
        <v>GITST/GIB/MASTER</v>
      </c>
      <c r="AE7" s="16" t="s">
        <v>75</v>
      </c>
      <c r="AF7" s="16" t="s">
        <v>75</v>
      </c>
      <c r="AG7" s="16" t="s">
        <v>75</v>
      </c>
      <c r="AH7" s="16" t="s">
        <v>75</v>
      </c>
      <c r="AI7" s="16" t="s">
        <v>75</v>
      </c>
      <c r="AJ7" s="16" t="s">
        <v>75</v>
      </c>
      <c r="AK7" s="16" t="s">
        <v>75</v>
      </c>
      <c r="AL7" s="16" t="s">
        <v>75</v>
      </c>
      <c r="AM7" s="16" t="s">
        <v>75</v>
      </c>
      <c r="AN7" s="16" t="s">
        <v>75</v>
      </c>
      <c r="AO7" s="6" t="s">
        <v>75</v>
      </c>
      <c r="AP7" s="6" t="s">
        <v>75</v>
      </c>
      <c r="AQ7" s="6" t="s">
        <v>75</v>
      </c>
      <c r="AR7" s="6" t="s">
        <v>76</v>
      </c>
      <c r="AS7" s="301" t="s">
        <v>157</v>
      </c>
      <c r="AT7" s="301" t="s">
        <v>158</v>
      </c>
      <c r="AU7" s="13" t="s">
        <v>159</v>
      </c>
      <c r="AV7" s="259" t="s">
        <v>160</v>
      </c>
      <c r="AW7" s="13" t="s">
        <v>161</v>
      </c>
      <c r="AX7" s="13" t="s">
        <v>162</v>
      </c>
      <c r="AY7" s="13" t="s">
        <v>81</v>
      </c>
      <c r="AZ7" s="13" t="s">
        <v>163</v>
      </c>
      <c r="BA7" s="13" t="s">
        <v>163</v>
      </c>
      <c r="BB7" s="13"/>
      <c r="BC7" s="13" t="s">
        <v>84</v>
      </c>
      <c r="BD7" s="13"/>
      <c r="BE7" s="319">
        <f>VLOOKUP(B7,'TEAMS_30-09-2021'!$D:$AG,30,FALSE)</f>
        <v>0</v>
      </c>
      <c r="BF7" s="320" t="str">
        <f>VLOOKUP(B7,'ENCUESTAS JUN-2021'!I:I,1,FALSE)</f>
        <v>Universiteit Gent</v>
      </c>
      <c r="BG7" s="63" t="str">
        <f>VLOOKUP(B7,'TEAMS_30-09-2021'!D:D,1,FALSE)</f>
        <v>Universiteit Gent</v>
      </c>
      <c r="BH7" s="13"/>
      <c r="BL7" s="19" t="e">
        <f>VLOOKUP(E7,#REF!,1,FALSE)</f>
        <v>#REF!</v>
      </c>
    </row>
    <row r="8" spans="1:64" s="19" customFormat="1" ht="20.100000000000001" hidden="1" customHeight="1">
      <c r="A8" s="357">
        <v>7</v>
      </c>
      <c r="B8" s="72" t="s">
        <v>164</v>
      </c>
      <c r="C8" s="252" t="s">
        <v>165</v>
      </c>
      <c r="D8" s="63" t="s">
        <v>166</v>
      </c>
      <c r="E8" s="6" t="s">
        <v>167</v>
      </c>
      <c r="F8" s="6" t="s">
        <v>137</v>
      </c>
      <c r="G8" s="6"/>
      <c r="H8" s="209" t="s">
        <v>168</v>
      </c>
      <c r="I8" s="216" t="s">
        <v>153</v>
      </c>
      <c r="J8" s="216" t="s">
        <v>169</v>
      </c>
      <c r="K8" s="209" t="s">
        <v>170</v>
      </c>
      <c r="L8" s="216" t="s">
        <v>106</v>
      </c>
      <c r="M8" s="216"/>
      <c r="N8" s="6" t="s">
        <v>69</v>
      </c>
      <c r="O8" s="6"/>
      <c r="P8" s="6" t="s">
        <v>70</v>
      </c>
      <c r="Q8" s="6"/>
      <c r="R8" s="6" t="s">
        <v>70</v>
      </c>
      <c r="S8" s="150" t="s">
        <v>123</v>
      </c>
      <c r="T8" s="6" t="s">
        <v>72</v>
      </c>
      <c r="U8" s="36">
        <v>2</v>
      </c>
      <c r="V8" s="36">
        <v>12</v>
      </c>
      <c r="W8" s="36" t="s">
        <v>171</v>
      </c>
      <c r="X8" s="36" t="s">
        <v>172</v>
      </c>
      <c r="Y8" s="6" t="s">
        <v>75</v>
      </c>
      <c r="Z8" s="6" t="s">
        <v>75</v>
      </c>
      <c r="AA8" s="6" t="s">
        <v>75</v>
      </c>
      <c r="AB8" s="6" t="s">
        <v>76</v>
      </c>
      <c r="AC8" s="6" t="s">
        <v>75</v>
      </c>
      <c r="AD8" s="6" t="str">
        <f>_xlfn.TEXTJOIN("/",TRUE,IF(OfertaPlazas[[#This Row],[GITST]]="SI","GITST",""),IF(OfertaPlazas[[#This Row],[GIB]]="SI","GIB",""),IF(OfertaPlazas[[#This Row],[GISD]]="SI","GISD",""),IF(OfertaPlazas[[#This Row],[MASTER]]="SI","MASTER",""))</f>
        <v>GITST/GIB/MASTER</v>
      </c>
      <c r="AE8" s="6" t="s">
        <v>76</v>
      </c>
      <c r="AF8" s="6" t="s">
        <v>76</v>
      </c>
      <c r="AG8" s="16" t="s">
        <v>76</v>
      </c>
      <c r="AH8" s="6" t="s">
        <v>75</v>
      </c>
      <c r="AI8" s="6" t="s">
        <v>75</v>
      </c>
      <c r="AJ8" s="6" t="s">
        <v>75</v>
      </c>
      <c r="AK8" s="6" t="s">
        <v>75</v>
      </c>
      <c r="AL8" s="6" t="s">
        <v>75</v>
      </c>
      <c r="AM8" s="6" t="s">
        <v>75</v>
      </c>
      <c r="AN8" s="6" t="s">
        <v>75</v>
      </c>
      <c r="AO8" s="6" t="s">
        <v>75</v>
      </c>
      <c r="AP8" s="6" t="s">
        <v>75</v>
      </c>
      <c r="AQ8" s="6" t="s">
        <v>75</v>
      </c>
      <c r="AR8" s="6" t="s">
        <v>76</v>
      </c>
      <c r="AS8" s="185" t="s">
        <v>173</v>
      </c>
      <c r="AT8" s="301"/>
      <c r="AU8" s="259" t="s">
        <v>174</v>
      </c>
      <c r="AV8" s="259" t="s">
        <v>175</v>
      </c>
      <c r="AW8" s="13" t="s">
        <v>48</v>
      </c>
      <c r="AX8" s="13" t="s">
        <v>48</v>
      </c>
      <c r="AY8" s="13" t="s">
        <v>81</v>
      </c>
      <c r="AZ8" s="13" t="s">
        <v>163</v>
      </c>
      <c r="BA8" s="13" t="s">
        <v>176</v>
      </c>
      <c r="BB8" s="13"/>
      <c r="BC8" s="13" t="s">
        <v>84</v>
      </c>
      <c r="BD8" s="13"/>
      <c r="BE8" s="319">
        <f>VLOOKUP(B8,'TEAMS_30-09-2021'!$D:$AG,30,FALSE)</f>
        <v>0</v>
      </c>
      <c r="BF8" s="320" t="str">
        <f>VLOOKUP(B8,'ENCUESTAS JUN-2021'!I:I,1,FALSE)</f>
        <v>Katholike Universiteit Leuven</v>
      </c>
      <c r="BG8" s="63" t="str">
        <f>VLOOKUP(B8,'TEAMS_30-09-2021'!D:D,1,FALSE)</f>
        <v>Katholike Universiteit Leuven</v>
      </c>
      <c r="BH8" s="182"/>
      <c r="BI8" s="183"/>
      <c r="BL8" s="19" t="e">
        <f>VLOOKUP(E8,#REF!,1,FALSE)</f>
        <v>#REF!</v>
      </c>
    </row>
    <row r="9" spans="1:64" s="19" customFormat="1" ht="20.100000000000001" hidden="1" customHeight="1">
      <c r="A9" s="357">
        <v>8</v>
      </c>
      <c r="B9" s="72" t="s">
        <v>177</v>
      </c>
      <c r="C9" s="252" t="s">
        <v>178</v>
      </c>
      <c r="D9" s="63" t="s">
        <v>179</v>
      </c>
      <c r="E9" s="6" t="s">
        <v>180</v>
      </c>
      <c r="F9" s="6" t="s">
        <v>137</v>
      </c>
      <c r="G9" s="6"/>
      <c r="H9" s="209" t="s">
        <v>181</v>
      </c>
      <c r="I9" s="216" t="s">
        <v>139</v>
      </c>
      <c r="J9" s="216" t="s">
        <v>118</v>
      </c>
      <c r="K9" s="209" t="s">
        <v>182</v>
      </c>
      <c r="L9" s="216" t="s">
        <v>68</v>
      </c>
      <c r="M9" s="216" t="s">
        <v>92</v>
      </c>
      <c r="N9" s="6" t="s">
        <v>69</v>
      </c>
      <c r="O9" s="6"/>
      <c r="P9" s="6" t="s">
        <v>70</v>
      </c>
      <c r="Q9" s="6"/>
      <c r="R9" s="6" t="s">
        <v>70</v>
      </c>
      <c r="S9" s="150" t="s">
        <v>123</v>
      </c>
      <c r="T9" s="6" t="s">
        <v>72</v>
      </c>
      <c r="U9" s="36">
        <v>2</v>
      </c>
      <c r="V9" s="36">
        <v>12</v>
      </c>
      <c r="W9" s="297" t="s">
        <v>183</v>
      </c>
      <c r="X9" s="36" t="s">
        <v>184</v>
      </c>
      <c r="Y9" s="6" t="s">
        <v>75</v>
      </c>
      <c r="Z9" s="6" t="s">
        <v>75</v>
      </c>
      <c r="AA9" s="6" t="s">
        <v>75</v>
      </c>
      <c r="AB9" s="6" t="s">
        <v>76</v>
      </c>
      <c r="AC9" s="6" t="s">
        <v>75</v>
      </c>
      <c r="AD9" s="6" t="str">
        <f>_xlfn.TEXTJOIN("/",TRUE,IF(OfertaPlazas[[#This Row],[GITST]]="SI","GITST",""),IF(OfertaPlazas[[#This Row],[GIB]]="SI","GIB",""),IF(OfertaPlazas[[#This Row],[GISD]]="SI","GISD",""),IF(OfertaPlazas[[#This Row],[MASTER]]="SI","MASTER",""))</f>
        <v>GITST/GIB/MASTER</v>
      </c>
      <c r="AE9" s="6" t="s">
        <v>75</v>
      </c>
      <c r="AF9" s="6" t="s">
        <v>75</v>
      </c>
      <c r="AG9" s="16" t="s">
        <v>75</v>
      </c>
      <c r="AH9" s="6" t="s">
        <v>75</v>
      </c>
      <c r="AI9" s="6" t="s">
        <v>75</v>
      </c>
      <c r="AJ9" s="6" t="s">
        <v>75</v>
      </c>
      <c r="AK9" s="6" t="s">
        <v>75</v>
      </c>
      <c r="AL9" s="6" t="s">
        <v>75</v>
      </c>
      <c r="AM9" s="6" t="s">
        <v>75</v>
      </c>
      <c r="AN9" s="6" t="s">
        <v>75</v>
      </c>
      <c r="AO9" s="6" t="s">
        <v>75</v>
      </c>
      <c r="AP9" s="6" t="s">
        <v>75</v>
      </c>
      <c r="AQ9" s="6" t="s">
        <v>75</v>
      </c>
      <c r="AR9" s="6" t="s">
        <v>76</v>
      </c>
      <c r="AS9" s="27" t="s">
        <v>185</v>
      </c>
      <c r="AT9" s="301"/>
      <c r="AU9" s="72"/>
      <c r="AV9" s="342"/>
      <c r="AW9" s="342"/>
      <c r="AX9" s="13"/>
      <c r="AY9" s="13" t="s">
        <v>129</v>
      </c>
      <c r="AZ9" s="13" t="s">
        <v>163</v>
      </c>
      <c r="BA9" s="13"/>
      <c r="BB9" s="13"/>
      <c r="BC9" s="13" t="s">
        <v>84</v>
      </c>
      <c r="BD9" s="13"/>
      <c r="BE9" s="319">
        <f>VLOOKUP(B9,'TEAMS_30-09-2021'!$D:$AG,30,FALSE)</f>
        <v>0</v>
      </c>
      <c r="BF9" s="320" t="str">
        <f>VLOOKUP(B9,'ENCUESTAS JUN-2021'!I:I,1,FALSE)</f>
        <v>Université de Liège</v>
      </c>
      <c r="BG9" s="63" t="str">
        <f>VLOOKUP(B9,'TEAMS_30-09-2021'!D:D,1,FALSE)</f>
        <v>Université de Liège</v>
      </c>
      <c r="BH9" s="13"/>
      <c r="BL9" s="19" t="e">
        <f>VLOOKUP(E9,#REF!,1,FALSE)</f>
        <v>#REF!</v>
      </c>
    </row>
    <row r="10" spans="1:64" s="19" customFormat="1" ht="20.100000000000001" hidden="1" customHeight="1">
      <c r="A10" s="357">
        <v>9</v>
      </c>
      <c r="B10" s="72" t="s">
        <v>186</v>
      </c>
      <c r="C10" s="252" t="s">
        <v>187</v>
      </c>
      <c r="D10" s="63" t="s">
        <v>188</v>
      </c>
      <c r="E10" s="6" t="s">
        <v>189</v>
      </c>
      <c r="F10" s="6" t="s">
        <v>137</v>
      </c>
      <c r="G10" s="6"/>
      <c r="H10" s="209" t="s">
        <v>190</v>
      </c>
      <c r="I10" s="216" t="s">
        <v>103</v>
      </c>
      <c r="J10" s="216" t="s">
        <v>153</v>
      </c>
      <c r="K10" s="209" t="s">
        <v>191</v>
      </c>
      <c r="L10" s="216" t="s">
        <v>192</v>
      </c>
      <c r="M10" s="216" t="s">
        <v>193</v>
      </c>
      <c r="N10" s="6" t="s">
        <v>69</v>
      </c>
      <c r="O10" s="72"/>
      <c r="P10" s="6" t="s">
        <v>70</v>
      </c>
      <c r="Q10" s="6"/>
      <c r="R10" s="6"/>
      <c r="S10" s="150" t="s">
        <v>194</v>
      </c>
      <c r="T10" s="6" t="s">
        <v>72</v>
      </c>
      <c r="U10" s="36">
        <v>2</v>
      </c>
      <c r="V10" s="36">
        <v>12</v>
      </c>
      <c r="W10" s="36" t="s">
        <v>195</v>
      </c>
      <c r="X10" s="36" t="s">
        <v>196</v>
      </c>
      <c r="Y10" s="6" t="s">
        <v>75</v>
      </c>
      <c r="Z10" s="6" t="s">
        <v>75</v>
      </c>
      <c r="AA10" s="6" t="s">
        <v>76</v>
      </c>
      <c r="AB10" s="6" t="s">
        <v>76</v>
      </c>
      <c r="AC10" s="6" t="s">
        <v>75</v>
      </c>
      <c r="AD10" s="6" t="str">
        <f>_xlfn.TEXTJOIN("/",TRUE,IF(OfertaPlazas[[#This Row],[GITST]]="SI","GITST",""),IF(OfertaPlazas[[#This Row],[GIB]]="SI","GIB",""),IF(OfertaPlazas[[#This Row],[GISD]]="SI","GISD",""),IF(OfertaPlazas[[#This Row],[MASTER]]="SI","MASTER",""))</f>
        <v>GITST/MASTER</v>
      </c>
      <c r="AE10" s="16" t="s">
        <v>75</v>
      </c>
      <c r="AF10" s="16" t="s">
        <v>75</v>
      </c>
      <c r="AG10" s="16" t="s">
        <v>75</v>
      </c>
      <c r="AH10" s="16" t="s">
        <v>75</v>
      </c>
      <c r="AI10" s="16" t="s">
        <v>75</v>
      </c>
      <c r="AJ10" s="16" t="s">
        <v>76</v>
      </c>
      <c r="AK10" s="16" t="s">
        <v>76</v>
      </c>
      <c r="AL10" s="16" t="s">
        <v>75</v>
      </c>
      <c r="AM10" s="16" t="s">
        <v>76</v>
      </c>
      <c r="AN10" s="16" t="s">
        <v>76</v>
      </c>
      <c r="AO10" s="6" t="s">
        <v>75</v>
      </c>
      <c r="AP10" s="6" t="s">
        <v>75</v>
      </c>
      <c r="AQ10" s="6" t="s">
        <v>75</v>
      </c>
      <c r="AR10" s="6" t="s">
        <v>76</v>
      </c>
      <c r="AS10" s="27" t="s">
        <v>197</v>
      </c>
      <c r="AT10" s="301" t="s">
        <v>198</v>
      </c>
      <c r="AU10" s="13" t="s">
        <v>199</v>
      </c>
      <c r="AV10" s="13"/>
      <c r="AW10" s="13"/>
      <c r="AX10" s="13"/>
      <c r="AY10" s="13" t="s">
        <v>129</v>
      </c>
      <c r="AZ10" s="13" t="s">
        <v>200</v>
      </c>
      <c r="BA10" s="13"/>
      <c r="BB10" s="13"/>
      <c r="BC10" s="13" t="s">
        <v>131</v>
      </c>
      <c r="BD10" s="13"/>
      <c r="BE10" s="319">
        <f>VLOOKUP(B10,'TEAMS_30-09-2021'!$D:$AG,30,FALSE)</f>
        <v>0</v>
      </c>
      <c r="BF10" s="319" t="e">
        <f>VLOOKUP(B10,'ENCUESTAS JUN-2021'!I:I,1,FALSE)</f>
        <v>#N/A</v>
      </c>
      <c r="BG10" s="63" t="str">
        <f>VLOOKUP(B10,'TEAMS_30-09-2021'!D:D,1,FALSE)</f>
        <v>Université Catholique de Louvain - EPL</v>
      </c>
      <c r="BH10" s="145"/>
      <c r="BI10" s="81"/>
    </row>
    <row r="11" spans="1:64" s="19" customFormat="1" ht="20.100000000000001" hidden="1" customHeight="1">
      <c r="A11" s="357">
        <v>10</v>
      </c>
      <c r="B11" s="277" t="s">
        <v>201</v>
      </c>
      <c r="C11" s="279" t="s">
        <v>202</v>
      </c>
      <c r="D11" s="63" t="s">
        <v>203</v>
      </c>
      <c r="E11" s="6" t="s">
        <v>204</v>
      </c>
      <c r="F11" s="6" t="s">
        <v>205</v>
      </c>
      <c r="G11" s="6"/>
      <c r="H11" s="209" t="s">
        <v>206</v>
      </c>
      <c r="I11" s="216" t="s">
        <v>119</v>
      </c>
      <c r="J11" s="216" t="s">
        <v>119</v>
      </c>
      <c r="K11" s="209" t="s">
        <v>207</v>
      </c>
      <c r="L11" s="216" t="s">
        <v>208</v>
      </c>
      <c r="M11" s="216" t="s">
        <v>208</v>
      </c>
      <c r="N11" s="6" t="s">
        <v>69</v>
      </c>
      <c r="O11" s="6"/>
      <c r="P11" s="6" t="s">
        <v>70</v>
      </c>
      <c r="Q11" s="6"/>
      <c r="R11" s="6"/>
      <c r="S11" s="150" t="s">
        <v>194</v>
      </c>
      <c r="T11" s="6" t="s">
        <v>72</v>
      </c>
      <c r="U11" s="36">
        <v>1</v>
      </c>
      <c r="V11" s="36">
        <v>12</v>
      </c>
      <c r="W11" s="36" t="s">
        <v>209</v>
      </c>
      <c r="X11" s="36" t="s">
        <v>210</v>
      </c>
      <c r="Y11" s="6" t="s">
        <v>75</v>
      </c>
      <c r="Z11" s="6" t="s">
        <v>75</v>
      </c>
      <c r="AA11" s="6" t="s">
        <v>76</v>
      </c>
      <c r="AB11" s="6" t="s">
        <v>76</v>
      </c>
      <c r="AC11" s="6" t="s">
        <v>75</v>
      </c>
      <c r="AD11" s="6" t="str">
        <f>_xlfn.TEXTJOIN("/",TRUE,IF(OfertaPlazas[[#This Row],[GITST]]="SI","GITST",""),IF(OfertaPlazas[[#This Row],[GIB]]="SI","GIB",""),IF(OfertaPlazas[[#This Row],[GISD]]="SI","GISD",""),IF(OfertaPlazas[[#This Row],[MASTER]]="SI","MASTER",""))</f>
        <v>GITST/MASTER</v>
      </c>
      <c r="AE11" s="16" t="s">
        <v>75</v>
      </c>
      <c r="AF11" s="16" t="s">
        <v>75</v>
      </c>
      <c r="AG11" s="16" t="s">
        <v>75</v>
      </c>
      <c r="AH11" s="16" t="s">
        <v>75</v>
      </c>
      <c r="AI11" s="16" t="s">
        <v>75</v>
      </c>
      <c r="AJ11" s="16" t="s">
        <v>75</v>
      </c>
      <c r="AK11" s="16" t="s">
        <v>75</v>
      </c>
      <c r="AL11" s="16" t="s">
        <v>76</v>
      </c>
      <c r="AM11" s="16" t="s">
        <v>76</v>
      </c>
      <c r="AN11" s="16" t="s">
        <v>75</v>
      </c>
      <c r="AO11" s="6" t="s">
        <v>75</v>
      </c>
      <c r="AP11" s="6" t="s">
        <v>76</v>
      </c>
      <c r="AQ11" s="6" t="s">
        <v>75</v>
      </c>
      <c r="AR11" s="6" t="s">
        <v>76</v>
      </c>
      <c r="AS11" s="185" t="s">
        <v>211</v>
      </c>
      <c r="AT11" s="301"/>
      <c r="AU11" s="13" t="s">
        <v>212</v>
      </c>
      <c r="AV11" s="13" t="s">
        <v>80</v>
      </c>
      <c r="AW11" s="13"/>
      <c r="AX11" s="13"/>
      <c r="AY11" s="13" t="s">
        <v>81</v>
      </c>
      <c r="AZ11" s="13" t="s">
        <v>130</v>
      </c>
      <c r="BA11" s="13" t="s">
        <v>213</v>
      </c>
      <c r="BB11" s="13"/>
      <c r="BC11" s="13" t="s">
        <v>84</v>
      </c>
      <c r="BD11" s="13"/>
      <c r="BE11" s="319">
        <f>VLOOKUP(B11,'TEAMS_30-09-2021'!$D:$AG,30,FALSE)</f>
        <v>0</v>
      </c>
      <c r="BF11" s="319" t="e">
        <f>VLOOKUP(B11,'ENCUESTAS JUN-2021'!I:I,1,FALSE)</f>
        <v>#N/A</v>
      </c>
      <c r="BG11" s="63" t="str">
        <f>VLOOKUP(B11,'TEAMS_30-09-2021'!D:D,1,FALSE)</f>
        <v>Angel Kanchev University of Ruse</v>
      </c>
      <c r="BH11" s="13"/>
      <c r="BL11" s="19" t="e">
        <f t="shared" ref="BL11:BL17" si="0">VLOOKUP(E11,#REF!,1,FALSE)</f>
        <v>#REF!</v>
      </c>
    </row>
    <row r="12" spans="1:64" s="19" customFormat="1" ht="20.100000000000001" hidden="1" customHeight="1">
      <c r="A12" s="357">
        <v>11</v>
      </c>
      <c r="B12" s="277" t="s">
        <v>214</v>
      </c>
      <c r="C12" s="279" t="s">
        <v>215</v>
      </c>
      <c r="D12" s="63" t="s">
        <v>216</v>
      </c>
      <c r="E12" s="6" t="s">
        <v>217</v>
      </c>
      <c r="F12" s="6" t="s">
        <v>205</v>
      </c>
      <c r="G12" s="6"/>
      <c r="H12" s="209" t="s">
        <v>218</v>
      </c>
      <c r="I12" s="216" t="s">
        <v>90</v>
      </c>
      <c r="J12" s="216" t="s">
        <v>90</v>
      </c>
      <c r="K12" s="209" t="s">
        <v>219</v>
      </c>
      <c r="L12" s="216" t="s">
        <v>92</v>
      </c>
      <c r="M12" s="216"/>
      <c r="N12" s="6" t="s">
        <v>69</v>
      </c>
      <c r="O12" s="6"/>
      <c r="P12" s="6" t="s">
        <v>70</v>
      </c>
      <c r="Q12" s="6"/>
      <c r="R12" s="6"/>
      <c r="S12" s="150" t="s">
        <v>194</v>
      </c>
      <c r="T12" s="6" t="s">
        <v>72</v>
      </c>
      <c r="U12" s="36">
        <v>2</v>
      </c>
      <c r="V12" s="36">
        <v>12</v>
      </c>
      <c r="W12" s="36" t="s">
        <v>220</v>
      </c>
      <c r="X12" s="36" t="s">
        <v>221</v>
      </c>
      <c r="Y12" s="6" t="s">
        <v>75</v>
      </c>
      <c r="Z12" s="6" t="s">
        <v>75</v>
      </c>
      <c r="AA12" s="6" t="s">
        <v>76</v>
      </c>
      <c r="AB12" s="6" t="s">
        <v>76</v>
      </c>
      <c r="AC12" s="6" t="s">
        <v>75</v>
      </c>
      <c r="AD12" s="6" t="str">
        <f>_xlfn.TEXTJOIN("/",TRUE,IF(OfertaPlazas[[#This Row],[GITST]]="SI","GITST",""),IF(OfertaPlazas[[#This Row],[GIB]]="SI","GIB",""),IF(OfertaPlazas[[#This Row],[GISD]]="SI","GISD",""),IF(OfertaPlazas[[#This Row],[MASTER]]="SI","MASTER",""))</f>
        <v>GITST/MASTER</v>
      </c>
      <c r="AE12" s="16" t="s">
        <v>75</v>
      </c>
      <c r="AF12" s="16" t="s">
        <v>75</v>
      </c>
      <c r="AG12" s="16" t="s">
        <v>75</v>
      </c>
      <c r="AH12" s="16" t="s">
        <v>75</v>
      </c>
      <c r="AI12" s="16" t="s">
        <v>75</v>
      </c>
      <c r="AJ12" s="16" t="s">
        <v>75</v>
      </c>
      <c r="AK12" s="16" t="s">
        <v>75</v>
      </c>
      <c r="AL12" s="16" t="s">
        <v>75</v>
      </c>
      <c r="AM12" s="16" t="s">
        <v>75</v>
      </c>
      <c r="AN12" s="16" t="s">
        <v>75</v>
      </c>
      <c r="AO12" s="6" t="s">
        <v>75</v>
      </c>
      <c r="AP12" s="6" t="s">
        <v>75</v>
      </c>
      <c r="AQ12" s="6" t="s">
        <v>75</v>
      </c>
      <c r="AR12" s="6" t="s">
        <v>76</v>
      </c>
      <c r="AS12" s="185" t="s">
        <v>211</v>
      </c>
      <c r="AT12" s="301"/>
      <c r="AU12" s="13"/>
      <c r="AV12" s="13" t="s">
        <v>80</v>
      </c>
      <c r="AW12" s="13"/>
      <c r="AX12" s="13"/>
      <c r="AY12" s="13" t="s">
        <v>81</v>
      </c>
      <c r="AZ12" s="13" t="s">
        <v>130</v>
      </c>
      <c r="BA12" s="13" t="s">
        <v>222</v>
      </c>
      <c r="BB12" s="13"/>
      <c r="BC12" s="13" t="s">
        <v>84</v>
      </c>
      <c r="BD12" s="13"/>
      <c r="BE12" s="319">
        <f>VLOOKUP(B12,'TEAMS_30-09-2021'!$D:$AG,30,FALSE)</f>
        <v>0</v>
      </c>
      <c r="BF12" s="319" t="e">
        <f>VLOOKUP(B12,'ENCUESTAS JUN-2021'!I:I,1,FALSE)</f>
        <v>#N/A</v>
      </c>
      <c r="BG12" s="63" t="str">
        <f>VLOOKUP(B12,'TEAMS_30-09-2021'!D:D,1,FALSE)</f>
        <v>Technical University of Sofia</v>
      </c>
      <c r="BH12" s="13"/>
      <c r="BL12" s="19" t="e">
        <f t="shared" si="0"/>
        <v>#REF!</v>
      </c>
    </row>
    <row r="13" spans="1:64" s="7" customFormat="1" ht="20.100000000000001" hidden="1" customHeight="1">
      <c r="A13" s="357">
        <v>12</v>
      </c>
      <c r="B13" s="13" t="s">
        <v>223</v>
      </c>
      <c r="C13" s="252" t="s">
        <v>224</v>
      </c>
      <c r="D13" s="63" t="s">
        <v>225</v>
      </c>
      <c r="E13" s="6" t="s">
        <v>226</v>
      </c>
      <c r="F13" s="6" t="s">
        <v>227</v>
      </c>
      <c r="G13" s="54"/>
      <c r="H13" s="209" t="s">
        <v>228</v>
      </c>
      <c r="I13" s="216" t="s">
        <v>229</v>
      </c>
      <c r="J13" s="216" t="s">
        <v>229</v>
      </c>
      <c r="K13" s="209"/>
      <c r="L13" s="216" t="s">
        <v>229</v>
      </c>
      <c r="M13" s="216"/>
      <c r="N13" s="6" t="s">
        <v>230</v>
      </c>
      <c r="O13" s="54"/>
      <c r="P13" s="54" t="s">
        <v>70</v>
      </c>
      <c r="Q13" s="54" t="s">
        <v>70</v>
      </c>
      <c r="R13" s="54"/>
      <c r="S13" s="150" t="s">
        <v>231</v>
      </c>
      <c r="T13" s="57" t="s">
        <v>232</v>
      </c>
      <c r="U13" s="36">
        <v>6</v>
      </c>
      <c r="V13" s="36">
        <v>6</v>
      </c>
      <c r="W13" s="337" t="s">
        <v>233</v>
      </c>
      <c r="X13" s="36" t="s">
        <v>125</v>
      </c>
      <c r="Y13" s="6" t="s">
        <v>75</v>
      </c>
      <c r="Z13" s="6" t="s">
        <v>75</v>
      </c>
      <c r="AA13" s="6" t="s">
        <v>76</v>
      </c>
      <c r="AB13" s="6" t="s">
        <v>75</v>
      </c>
      <c r="AC13" s="6" t="s">
        <v>75</v>
      </c>
      <c r="AD13" s="6" t="str">
        <f>_xlfn.TEXTJOIN("/",TRUE,IF(OfertaPlazas[[#This Row],[GITST]]="SI","GITST",""),IF(OfertaPlazas[[#This Row],[GIB]]="SI","GIB",""),IF(OfertaPlazas[[#This Row],[GISD]]="SI","GISD",""),IF(OfertaPlazas[[#This Row],[MASTER]]="SI","MASTER",""))</f>
        <v>GITST/GISD/MASTER</v>
      </c>
      <c r="AE13" s="6" t="s">
        <v>75</v>
      </c>
      <c r="AF13" s="6" t="s">
        <v>75</v>
      </c>
      <c r="AG13" s="16" t="s">
        <v>75</v>
      </c>
      <c r="AH13" s="6" t="s">
        <v>75</v>
      </c>
      <c r="AI13" s="6" t="s">
        <v>75</v>
      </c>
      <c r="AJ13" s="6" t="s">
        <v>76</v>
      </c>
      <c r="AK13" s="6" t="s">
        <v>76</v>
      </c>
      <c r="AL13" s="6" t="s">
        <v>75</v>
      </c>
      <c r="AM13" s="6" t="s">
        <v>76</v>
      </c>
      <c r="AN13" s="6" t="s">
        <v>76</v>
      </c>
      <c r="AO13" s="6" t="s">
        <v>75</v>
      </c>
      <c r="AP13" s="6" t="s">
        <v>76</v>
      </c>
      <c r="AQ13" s="6" t="s">
        <v>76</v>
      </c>
      <c r="AR13" s="6" t="s">
        <v>76</v>
      </c>
      <c r="AS13" s="27" t="s">
        <v>234</v>
      </c>
      <c r="AT13" s="301" t="s">
        <v>235</v>
      </c>
      <c r="AU13" s="13" t="s">
        <v>236</v>
      </c>
      <c r="AV13" s="71"/>
      <c r="AW13" s="71"/>
      <c r="AX13" s="71"/>
      <c r="AY13" s="13" t="s">
        <v>81</v>
      </c>
      <c r="AZ13" s="71" t="s">
        <v>83</v>
      </c>
      <c r="BA13" s="71" t="s">
        <v>237</v>
      </c>
      <c r="BB13" s="36" t="s">
        <v>238</v>
      </c>
      <c r="BC13" s="71" t="s">
        <v>84</v>
      </c>
      <c r="BD13" s="71"/>
      <c r="BE13" s="322"/>
      <c r="BF13" s="319" t="e">
        <f>VLOOKUP(B13,'ENCUESTAS JUN-2021'!I:I,1,FALSE)</f>
        <v>#N/A</v>
      </c>
      <c r="BG13" s="335" t="s">
        <v>239</v>
      </c>
      <c r="BH13" s="13"/>
      <c r="BI13" s="19"/>
      <c r="BL13" s="19" t="e">
        <f t="shared" si="0"/>
        <v>#REF!</v>
      </c>
    </row>
    <row r="14" spans="1:64" s="53" customFormat="1" ht="18.75" hidden="1" customHeight="1">
      <c r="A14" s="357">
        <v>13</v>
      </c>
      <c r="B14" s="72" t="s">
        <v>240</v>
      </c>
      <c r="C14" s="252" t="s">
        <v>241</v>
      </c>
      <c r="D14" s="63" t="s">
        <v>242</v>
      </c>
      <c r="E14" s="6" t="s">
        <v>243</v>
      </c>
      <c r="F14" s="6" t="s">
        <v>227</v>
      </c>
      <c r="G14" s="6"/>
      <c r="H14" s="209" t="s">
        <v>244</v>
      </c>
      <c r="I14" s="216" t="s">
        <v>153</v>
      </c>
      <c r="J14" s="216" t="s">
        <v>153</v>
      </c>
      <c r="K14" s="209" t="s">
        <v>245</v>
      </c>
      <c r="L14" s="216" t="s">
        <v>141</v>
      </c>
      <c r="M14" s="216"/>
      <c r="N14" s="6" t="s">
        <v>230</v>
      </c>
      <c r="O14" s="6" t="s">
        <v>72</v>
      </c>
      <c r="P14" s="6"/>
      <c r="Q14" s="6" t="s">
        <v>70</v>
      </c>
      <c r="R14" s="6" t="s">
        <v>70</v>
      </c>
      <c r="S14" s="150" t="s">
        <v>246</v>
      </c>
      <c r="T14" s="57" t="s">
        <v>232</v>
      </c>
      <c r="U14" s="36">
        <v>3</v>
      </c>
      <c r="V14" s="36">
        <v>10</v>
      </c>
      <c r="W14" s="332" t="s">
        <v>247</v>
      </c>
      <c r="X14" s="36" t="s">
        <v>125</v>
      </c>
      <c r="Y14" s="6" t="s">
        <v>75</v>
      </c>
      <c r="Z14" s="6" t="s">
        <v>75</v>
      </c>
      <c r="AA14" s="6" t="s">
        <v>75</v>
      </c>
      <c r="AB14" s="6" t="s">
        <v>75</v>
      </c>
      <c r="AC14" s="6" t="s">
        <v>75</v>
      </c>
      <c r="AD14" s="6" t="str">
        <f>_xlfn.TEXTJOIN("/",TRUE,IF(OfertaPlazas[[#This Row],[GITST]]="SI","GITST",""),IF(OfertaPlazas[[#This Row],[GIB]]="SI","GIB",""),IF(OfertaPlazas[[#This Row],[GISD]]="SI","GISD",""),IF(OfertaPlazas[[#This Row],[MASTER]]="SI","MASTER",""))</f>
        <v>GITST/GIB/GISD/MASTER</v>
      </c>
      <c r="AE14" s="16" t="s">
        <v>75</v>
      </c>
      <c r="AF14" s="16" t="s">
        <v>75</v>
      </c>
      <c r="AG14" s="16" t="s">
        <v>75</v>
      </c>
      <c r="AH14" s="16" t="s">
        <v>75</v>
      </c>
      <c r="AI14" s="16" t="s">
        <v>75</v>
      </c>
      <c r="AJ14" s="16" t="s">
        <v>75</v>
      </c>
      <c r="AK14" s="16" t="s">
        <v>75</v>
      </c>
      <c r="AL14" s="16" t="s">
        <v>75</v>
      </c>
      <c r="AM14" s="16" t="s">
        <v>75</v>
      </c>
      <c r="AN14" s="16" t="s">
        <v>75</v>
      </c>
      <c r="AO14" s="6" t="s">
        <v>75</v>
      </c>
      <c r="AP14" s="6" t="s">
        <v>75</v>
      </c>
      <c r="AQ14" s="6" t="s">
        <v>75</v>
      </c>
      <c r="AR14" s="6" t="s">
        <v>76</v>
      </c>
      <c r="AS14" s="185" t="s">
        <v>248</v>
      </c>
      <c r="AT14" s="301"/>
      <c r="AU14" s="13" t="s">
        <v>249</v>
      </c>
      <c r="AV14" s="71" t="s">
        <v>250</v>
      </c>
      <c r="AW14" s="71"/>
      <c r="AX14" s="71"/>
      <c r="AY14" s="13" t="s">
        <v>129</v>
      </c>
      <c r="AZ14" s="63" t="s">
        <v>251</v>
      </c>
      <c r="BA14" s="6"/>
      <c r="BB14" s="6"/>
      <c r="BC14" s="6" t="s">
        <v>131</v>
      </c>
      <c r="BD14" s="6" t="s">
        <v>252</v>
      </c>
      <c r="BE14" s="334"/>
      <c r="BF14" s="319" t="e">
        <f>VLOOKUP(B14,'ENCUESTAS JUN-2021'!I:I,1,FALSE)</f>
        <v>#N/A</v>
      </c>
      <c r="BG14" s="335" t="s">
        <v>239</v>
      </c>
      <c r="BH14" s="13"/>
      <c r="BI14" s="19"/>
      <c r="BL14" s="19" t="e">
        <f t="shared" si="0"/>
        <v>#REF!</v>
      </c>
    </row>
    <row r="15" spans="1:64" s="143" customFormat="1" ht="20.100000000000001" hidden="1" customHeight="1">
      <c r="A15" s="357">
        <v>14</v>
      </c>
      <c r="B15" s="13" t="s">
        <v>253</v>
      </c>
      <c r="C15" s="252" t="s">
        <v>254</v>
      </c>
      <c r="D15" s="63" t="s">
        <v>255</v>
      </c>
      <c r="E15" s="6" t="s">
        <v>256</v>
      </c>
      <c r="F15" s="6" t="s">
        <v>227</v>
      </c>
      <c r="G15" s="26"/>
      <c r="H15" s="264" t="s">
        <v>257</v>
      </c>
      <c r="I15" s="216" t="s">
        <v>258</v>
      </c>
      <c r="J15" s="216" t="s">
        <v>103</v>
      </c>
      <c r="K15" s="209" t="s">
        <v>259</v>
      </c>
      <c r="L15" s="222" t="s">
        <v>141</v>
      </c>
      <c r="M15" s="216" t="s">
        <v>68</v>
      </c>
      <c r="N15" s="6" t="s">
        <v>230</v>
      </c>
      <c r="O15" s="26"/>
      <c r="P15" s="26" t="s">
        <v>70</v>
      </c>
      <c r="Q15" s="26" t="s">
        <v>70</v>
      </c>
      <c r="R15" s="26"/>
      <c r="S15" s="150" t="s">
        <v>231</v>
      </c>
      <c r="T15" s="57" t="s">
        <v>232</v>
      </c>
      <c r="U15" s="36">
        <v>2</v>
      </c>
      <c r="V15" s="36">
        <v>10</v>
      </c>
      <c r="W15" s="297" t="s">
        <v>260</v>
      </c>
      <c r="X15" s="36" t="s">
        <v>261</v>
      </c>
      <c r="Y15" s="6" t="s">
        <v>75</v>
      </c>
      <c r="Z15" s="6" t="s">
        <v>75</v>
      </c>
      <c r="AA15" s="6" t="s">
        <v>76</v>
      </c>
      <c r="AB15" s="6" t="s">
        <v>75</v>
      </c>
      <c r="AC15" s="6" t="s">
        <v>75</v>
      </c>
      <c r="AD15" s="6" t="str">
        <f>_xlfn.TEXTJOIN("/",TRUE,IF(OfertaPlazas[[#This Row],[GITST]]="SI","GITST",""),IF(OfertaPlazas[[#This Row],[GIB]]="SI","GIB",""),IF(OfertaPlazas[[#This Row],[GISD]]="SI","GISD",""),IF(OfertaPlazas[[#This Row],[MASTER]]="SI","MASTER",""))</f>
        <v>GITST/GISD/MASTER</v>
      </c>
      <c r="AE15" s="16" t="s">
        <v>75</v>
      </c>
      <c r="AF15" s="16" t="s">
        <v>75</v>
      </c>
      <c r="AG15" s="16" t="s">
        <v>75</v>
      </c>
      <c r="AH15" s="16" t="s">
        <v>75</v>
      </c>
      <c r="AI15" s="16" t="s">
        <v>75</v>
      </c>
      <c r="AJ15" s="16" t="s">
        <v>75</v>
      </c>
      <c r="AK15" s="16" t="s">
        <v>75</v>
      </c>
      <c r="AL15" s="16" t="s">
        <v>75</v>
      </c>
      <c r="AM15" s="16" t="s">
        <v>75</v>
      </c>
      <c r="AN15" s="16" t="s">
        <v>75</v>
      </c>
      <c r="AO15" s="6" t="s">
        <v>75</v>
      </c>
      <c r="AP15" s="6" t="s">
        <v>75</v>
      </c>
      <c r="AQ15" s="6" t="s">
        <v>75</v>
      </c>
      <c r="AR15" s="6" t="s">
        <v>76</v>
      </c>
      <c r="AS15" s="299" t="s">
        <v>262</v>
      </c>
      <c r="AT15" s="301" t="s">
        <v>263</v>
      </c>
      <c r="AU15" s="72"/>
      <c r="AV15" s="13" t="s">
        <v>264</v>
      </c>
      <c r="AW15" s="13"/>
      <c r="AX15" s="13"/>
      <c r="AY15" s="13" t="s">
        <v>81</v>
      </c>
      <c r="AZ15" s="63" t="s">
        <v>265</v>
      </c>
      <c r="BA15" s="6" t="s">
        <v>266</v>
      </c>
      <c r="BB15" s="6"/>
      <c r="BC15" s="63" t="s">
        <v>84</v>
      </c>
      <c r="BD15" s="72"/>
      <c r="BE15" s="319"/>
      <c r="BF15" s="319" t="e">
        <f>VLOOKUP(B15,'ENCUESTAS JUN-2021'!I:I,1,FALSE)</f>
        <v>#N/A</v>
      </c>
      <c r="BG15" s="335" t="s">
        <v>239</v>
      </c>
      <c r="BH15" s="13"/>
      <c r="BI15" s="19"/>
      <c r="BL15" s="19" t="e">
        <f t="shared" si="0"/>
        <v>#REF!</v>
      </c>
    </row>
    <row r="16" spans="1:64" s="19" customFormat="1" ht="19.5" hidden="1" customHeight="1">
      <c r="A16" s="357">
        <v>15</v>
      </c>
      <c r="B16" s="13" t="s">
        <v>267</v>
      </c>
      <c r="C16" s="252" t="s">
        <v>268</v>
      </c>
      <c r="D16" s="63" t="s">
        <v>269</v>
      </c>
      <c r="E16" s="6" t="s">
        <v>270</v>
      </c>
      <c r="F16" s="6" t="s">
        <v>271</v>
      </c>
      <c r="G16" s="6"/>
      <c r="H16" s="209" t="s">
        <v>272</v>
      </c>
      <c r="I16" s="216" t="s">
        <v>153</v>
      </c>
      <c r="J16" s="216" t="s">
        <v>169</v>
      </c>
      <c r="K16" s="209" t="s">
        <v>273</v>
      </c>
      <c r="L16" s="216" t="s">
        <v>92</v>
      </c>
      <c r="M16" s="216" t="s">
        <v>208</v>
      </c>
      <c r="N16" s="6" t="s">
        <v>69</v>
      </c>
      <c r="O16" s="6"/>
      <c r="P16" s="6" t="s">
        <v>70</v>
      </c>
      <c r="Q16" s="6"/>
      <c r="R16" s="6"/>
      <c r="S16" s="150" t="s">
        <v>194</v>
      </c>
      <c r="T16" s="6" t="s">
        <v>72</v>
      </c>
      <c r="U16" s="36">
        <v>2</v>
      </c>
      <c r="V16" s="36">
        <v>12</v>
      </c>
      <c r="W16" s="36" t="s">
        <v>274</v>
      </c>
      <c r="X16" s="36" t="s">
        <v>275</v>
      </c>
      <c r="Y16" s="6" t="s">
        <v>75</v>
      </c>
      <c r="Z16" s="6" t="s">
        <v>75</v>
      </c>
      <c r="AA16" s="6" t="s">
        <v>76</v>
      </c>
      <c r="AB16" s="6" t="s">
        <v>76</v>
      </c>
      <c r="AC16" s="6" t="s">
        <v>75</v>
      </c>
      <c r="AD16" s="6" t="str">
        <f>_xlfn.TEXTJOIN("/",TRUE,IF(OfertaPlazas[[#This Row],[GITST]]="SI","GITST",""),IF(OfertaPlazas[[#This Row],[GIB]]="SI","GIB",""),IF(OfertaPlazas[[#This Row],[GISD]]="SI","GISD",""),IF(OfertaPlazas[[#This Row],[MASTER]]="SI","MASTER",""))</f>
        <v>GITST/MASTER</v>
      </c>
      <c r="AE16" s="16" t="s">
        <v>75</v>
      </c>
      <c r="AF16" s="16" t="s">
        <v>75</v>
      </c>
      <c r="AG16" s="16" t="s">
        <v>75</v>
      </c>
      <c r="AH16" s="16" t="s">
        <v>75</v>
      </c>
      <c r="AI16" s="16" t="s">
        <v>75</v>
      </c>
      <c r="AJ16" s="16" t="s">
        <v>75</v>
      </c>
      <c r="AK16" s="16" t="s">
        <v>75</v>
      </c>
      <c r="AL16" s="16" t="s">
        <v>75</v>
      </c>
      <c r="AM16" s="16" t="s">
        <v>75</v>
      </c>
      <c r="AN16" s="16" t="s">
        <v>75</v>
      </c>
      <c r="AO16" s="6" t="s">
        <v>75</v>
      </c>
      <c r="AP16" s="6" t="s">
        <v>75</v>
      </c>
      <c r="AQ16" s="6" t="s">
        <v>75</v>
      </c>
      <c r="AR16" s="6" t="s">
        <v>76</v>
      </c>
      <c r="AS16" s="27" t="s">
        <v>276</v>
      </c>
      <c r="AT16" s="301" t="s">
        <v>277</v>
      </c>
      <c r="AU16" s="13" t="s">
        <v>278</v>
      </c>
      <c r="AV16" s="13" t="s">
        <v>80</v>
      </c>
      <c r="AW16" s="13" t="s">
        <v>279</v>
      </c>
      <c r="AX16" s="13"/>
      <c r="AY16" s="13" t="s">
        <v>81</v>
      </c>
      <c r="AZ16" s="13" t="s">
        <v>130</v>
      </c>
      <c r="BA16" s="13" t="s">
        <v>280</v>
      </c>
      <c r="BB16" s="13"/>
      <c r="BC16" s="13" t="s">
        <v>84</v>
      </c>
      <c r="BD16" s="13"/>
      <c r="BE16" s="319">
        <f>VLOOKUP(B16,'TEAMS_30-09-2021'!$D:$AG,30,FALSE)</f>
        <v>0</v>
      </c>
      <c r="BF16" s="319" t="e">
        <f>VLOOKUP(B16,'ENCUESTAS JUN-2021'!I:I,1,FALSE)</f>
        <v>#N/A</v>
      </c>
      <c r="BG16" s="63" t="str">
        <f>VLOOKUP(B16,'TEAMS_30-09-2021'!D:D,1,FALSE)</f>
        <v>Czech Technical University CTU</v>
      </c>
      <c r="BH16" s="13"/>
      <c r="BL16" s="19" t="e">
        <f t="shared" si="0"/>
        <v>#REF!</v>
      </c>
    </row>
    <row r="17" spans="1:64" s="19" customFormat="1" ht="20.100000000000001" hidden="1" customHeight="1">
      <c r="A17" s="357">
        <v>16</v>
      </c>
      <c r="B17" s="72" t="s">
        <v>281</v>
      </c>
      <c r="C17" s="252" t="s">
        <v>282</v>
      </c>
      <c r="D17" s="63" t="s">
        <v>283</v>
      </c>
      <c r="E17" s="54" t="s">
        <v>284</v>
      </c>
      <c r="F17" s="6" t="s">
        <v>285</v>
      </c>
      <c r="G17" s="6"/>
      <c r="H17" s="209" t="s">
        <v>286</v>
      </c>
      <c r="I17" s="216" t="s">
        <v>229</v>
      </c>
      <c r="J17" s="216" t="s">
        <v>118</v>
      </c>
      <c r="K17" s="209" t="s">
        <v>287</v>
      </c>
      <c r="L17" s="216" t="s">
        <v>193</v>
      </c>
      <c r="M17" s="216" t="s">
        <v>122</v>
      </c>
      <c r="N17" s="6" t="s">
        <v>69</v>
      </c>
      <c r="O17" s="6"/>
      <c r="P17" s="6" t="s">
        <v>70</v>
      </c>
      <c r="Q17" s="6"/>
      <c r="R17" s="6"/>
      <c r="S17" s="150" t="s">
        <v>194</v>
      </c>
      <c r="T17" s="6" t="s">
        <v>72</v>
      </c>
      <c r="U17" s="36">
        <v>4</v>
      </c>
      <c r="V17" s="36">
        <v>5</v>
      </c>
      <c r="W17" s="36" t="s">
        <v>288</v>
      </c>
      <c r="X17" s="36" t="s">
        <v>289</v>
      </c>
      <c r="Y17" s="6" t="s">
        <v>75</v>
      </c>
      <c r="Z17" s="6" t="s">
        <v>75</v>
      </c>
      <c r="AA17" s="6" t="s">
        <v>76</v>
      </c>
      <c r="AB17" s="6" t="s">
        <v>76</v>
      </c>
      <c r="AC17" s="6" t="s">
        <v>75</v>
      </c>
      <c r="AD17" s="6" t="str">
        <f>_xlfn.TEXTJOIN("/",TRUE,IF(OfertaPlazas[[#This Row],[GITST]]="SI","GITST",""),IF(OfertaPlazas[[#This Row],[GIB]]="SI","GIB",""),IF(OfertaPlazas[[#This Row],[GISD]]="SI","GISD",""),IF(OfertaPlazas[[#This Row],[MASTER]]="SI","MASTER",""))</f>
        <v>GITST/MASTER</v>
      </c>
      <c r="AE17" s="16" t="s">
        <v>75</v>
      </c>
      <c r="AF17" s="16" t="s">
        <v>75</v>
      </c>
      <c r="AG17" s="16" t="s">
        <v>75</v>
      </c>
      <c r="AH17" s="16" t="s">
        <v>75</v>
      </c>
      <c r="AI17" s="16" t="s">
        <v>75</v>
      </c>
      <c r="AJ17" s="16" t="s">
        <v>75</v>
      </c>
      <c r="AK17" s="16" t="s">
        <v>75</v>
      </c>
      <c r="AL17" s="16" t="s">
        <v>75</v>
      </c>
      <c r="AM17" s="16" t="s">
        <v>75</v>
      </c>
      <c r="AN17" s="16" t="s">
        <v>75</v>
      </c>
      <c r="AO17" s="6" t="s">
        <v>75</v>
      </c>
      <c r="AP17" s="6" t="s">
        <v>75</v>
      </c>
      <c r="AQ17" s="6" t="s">
        <v>75</v>
      </c>
      <c r="AR17" s="6" t="s">
        <v>76</v>
      </c>
      <c r="AS17" s="301" t="s">
        <v>290</v>
      </c>
      <c r="AT17" s="301" t="s">
        <v>291</v>
      </c>
      <c r="AU17" s="40" t="s">
        <v>292</v>
      </c>
      <c r="AV17" s="13"/>
      <c r="AW17" s="13"/>
      <c r="AX17" s="13"/>
      <c r="AY17" s="13" t="s">
        <v>129</v>
      </c>
      <c r="AZ17" s="13" t="s">
        <v>130</v>
      </c>
      <c r="BA17" s="13" t="s">
        <v>293</v>
      </c>
      <c r="BB17" s="13"/>
      <c r="BC17" s="13" t="s">
        <v>131</v>
      </c>
      <c r="BD17" s="13"/>
      <c r="BE17" s="319">
        <f>VLOOKUP(B17,'TEAMS_30-09-2021'!$D:$AG,30,FALSE)</f>
        <v>0</v>
      </c>
      <c r="BF17" s="320" t="str">
        <f>VLOOKUP(B17,'ENCUESTAS JUN-2021'!I:I,1,FALSE)</f>
        <v>RWTH - Aachen</v>
      </c>
      <c r="BG17" s="63" t="str">
        <f>VLOOKUP(B17,'TEAMS_30-09-2021'!D:D,1,FALSE)</f>
        <v>RWTH - Aachen</v>
      </c>
      <c r="BH17" s="13"/>
      <c r="BL17" s="19" t="e">
        <f t="shared" si="0"/>
        <v>#REF!</v>
      </c>
    </row>
    <row r="18" spans="1:64" s="19" customFormat="1" ht="20.100000000000001" hidden="1" customHeight="1">
      <c r="A18" s="357">
        <v>17</v>
      </c>
      <c r="B18" s="13" t="s">
        <v>294</v>
      </c>
      <c r="C18" s="252" t="s">
        <v>295</v>
      </c>
      <c r="D18" s="63" t="s">
        <v>296</v>
      </c>
      <c r="E18" s="6" t="s">
        <v>297</v>
      </c>
      <c r="F18" s="6" t="s">
        <v>285</v>
      </c>
      <c r="G18" s="6"/>
      <c r="H18" s="209" t="s">
        <v>298</v>
      </c>
      <c r="I18" s="216" t="s">
        <v>169</v>
      </c>
      <c r="J18" s="216" t="s">
        <v>89</v>
      </c>
      <c r="K18" s="209" t="s">
        <v>299</v>
      </c>
      <c r="L18" s="216" t="s">
        <v>193</v>
      </c>
      <c r="M18" s="216" t="s">
        <v>300</v>
      </c>
      <c r="N18" s="6" t="s">
        <v>69</v>
      </c>
      <c r="O18" s="6"/>
      <c r="P18" s="6" t="s">
        <v>70</v>
      </c>
      <c r="Q18" s="6" t="s">
        <v>70</v>
      </c>
      <c r="R18" s="6"/>
      <c r="S18" s="150" t="s">
        <v>231</v>
      </c>
      <c r="T18" s="6" t="s">
        <v>72</v>
      </c>
      <c r="U18" s="36">
        <v>2</v>
      </c>
      <c r="V18" s="36">
        <v>12</v>
      </c>
      <c r="W18" s="36" t="s">
        <v>301</v>
      </c>
      <c r="X18" s="36" t="s">
        <v>302</v>
      </c>
      <c r="Y18" s="6" t="s">
        <v>75</v>
      </c>
      <c r="Z18" s="6" t="s">
        <v>75</v>
      </c>
      <c r="AA18" s="6" t="s">
        <v>76</v>
      </c>
      <c r="AB18" s="6" t="s">
        <v>75</v>
      </c>
      <c r="AC18" s="6" t="s">
        <v>75</v>
      </c>
      <c r="AD18" s="6" t="str">
        <f>_xlfn.TEXTJOIN("/",TRUE,IF(OfertaPlazas[[#This Row],[GITST]]="SI","GITST",""),IF(OfertaPlazas[[#This Row],[GIB]]="SI","GIB",""),IF(OfertaPlazas[[#This Row],[GISD]]="SI","GISD",""),IF(OfertaPlazas[[#This Row],[MASTER]]="SI","MASTER",""))</f>
        <v>GITST/GISD/MASTER</v>
      </c>
      <c r="AE18" s="16" t="s">
        <v>75</v>
      </c>
      <c r="AF18" s="16" t="s">
        <v>75</v>
      </c>
      <c r="AG18" s="16" t="s">
        <v>75</v>
      </c>
      <c r="AH18" s="16" t="s">
        <v>75</v>
      </c>
      <c r="AI18" s="16" t="s">
        <v>75</v>
      </c>
      <c r="AJ18" s="16" t="s">
        <v>75</v>
      </c>
      <c r="AK18" s="16" t="s">
        <v>75</v>
      </c>
      <c r="AL18" s="16" t="s">
        <v>75</v>
      </c>
      <c r="AM18" s="16" t="s">
        <v>75</v>
      </c>
      <c r="AN18" s="16" t="s">
        <v>75</v>
      </c>
      <c r="AO18" s="6" t="s">
        <v>75</v>
      </c>
      <c r="AP18" s="6" t="s">
        <v>75</v>
      </c>
      <c r="AQ18" s="6" t="s">
        <v>75</v>
      </c>
      <c r="AR18" s="6" t="s">
        <v>76</v>
      </c>
      <c r="AS18" s="301" t="s">
        <v>303</v>
      </c>
      <c r="AT18" s="301" t="s">
        <v>304</v>
      </c>
      <c r="AU18" s="40" t="s">
        <v>305</v>
      </c>
      <c r="AV18" s="259"/>
      <c r="AW18" s="13" t="s">
        <v>306</v>
      </c>
      <c r="AX18" s="13"/>
      <c r="AY18" s="13" t="s">
        <v>129</v>
      </c>
      <c r="AZ18" s="13" t="s">
        <v>130</v>
      </c>
      <c r="BA18" s="13" t="s">
        <v>307</v>
      </c>
      <c r="BB18" s="13"/>
      <c r="BC18" s="13" t="s">
        <v>131</v>
      </c>
      <c r="BD18" s="13" t="s">
        <v>308</v>
      </c>
      <c r="BE18" s="319" t="e">
        <f>VLOOKUP(B18,'TEAMS_30-09-2021'!$D:$AG,30,FALSE)</f>
        <v>#N/A</v>
      </c>
      <c r="BF18" s="319" t="e">
        <f>VLOOKUP(B18,'ENCUESTAS JUN-2021'!I:I,1,FALSE)</f>
        <v>#N/A</v>
      </c>
      <c r="BG18" s="63" t="e">
        <f>VLOOKUP(B18,'TEAMS_30-09-2021'!D:D,1,FALSE)</f>
        <v>#N/A</v>
      </c>
      <c r="BH18" s="71"/>
      <c r="BI18" s="7"/>
    </row>
    <row r="19" spans="1:64" s="19" customFormat="1" ht="20.100000000000001" hidden="1" customHeight="1">
      <c r="A19" s="357">
        <v>18</v>
      </c>
      <c r="B19" s="72" t="s">
        <v>309</v>
      </c>
      <c r="C19" s="252" t="s">
        <v>310</v>
      </c>
      <c r="D19" s="63" t="s">
        <v>311</v>
      </c>
      <c r="E19" s="6" t="s">
        <v>312</v>
      </c>
      <c r="F19" s="6" t="s">
        <v>285</v>
      </c>
      <c r="G19" s="6"/>
      <c r="H19" s="209" t="s">
        <v>313</v>
      </c>
      <c r="I19" s="216" t="s">
        <v>104</v>
      </c>
      <c r="J19" s="216" t="s">
        <v>104</v>
      </c>
      <c r="K19" s="209" t="s">
        <v>314</v>
      </c>
      <c r="L19" s="216" t="s">
        <v>68</v>
      </c>
      <c r="M19" s="216"/>
      <c r="N19" s="6" t="s">
        <v>69</v>
      </c>
      <c r="O19" s="6"/>
      <c r="P19" s="6"/>
      <c r="Q19" s="6" t="s">
        <v>70</v>
      </c>
      <c r="R19" s="6"/>
      <c r="S19" s="281" t="s">
        <v>315</v>
      </c>
      <c r="T19" s="6" t="s">
        <v>72</v>
      </c>
      <c r="U19" s="36">
        <v>3</v>
      </c>
      <c r="V19" s="36">
        <v>12</v>
      </c>
      <c r="W19" s="36" t="s">
        <v>316</v>
      </c>
      <c r="X19" s="36" t="s">
        <v>317</v>
      </c>
      <c r="Y19" s="6" t="s">
        <v>75</v>
      </c>
      <c r="Z19" s="6" t="s">
        <v>75</v>
      </c>
      <c r="AA19" s="6" t="s">
        <v>76</v>
      </c>
      <c r="AB19" s="6" t="s">
        <v>75</v>
      </c>
      <c r="AC19" s="6" t="s">
        <v>75</v>
      </c>
      <c r="AD19" s="6" t="str">
        <f>_xlfn.TEXTJOIN("/",TRUE,IF(OfertaPlazas[[#This Row],[GITST]]="SI","GITST",""),IF(OfertaPlazas[[#This Row],[GIB]]="SI","GIB",""),IF(OfertaPlazas[[#This Row],[GISD]]="SI","GISD",""),IF(OfertaPlazas[[#This Row],[MASTER]]="SI","MASTER",""))</f>
        <v>GITST/GISD/MASTER</v>
      </c>
      <c r="AE19" s="16" t="s">
        <v>75</v>
      </c>
      <c r="AF19" s="16" t="s">
        <v>75</v>
      </c>
      <c r="AG19" s="16" t="s">
        <v>75</v>
      </c>
      <c r="AH19" s="16" t="s">
        <v>75</v>
      </c>
      <c r="AI19" s="16" t="s">
        <v>75</v>
      </c>
      <c r="AJ19" s="16" t="s">
        <v>75</v>
      </c>
      <c r="AK19" s="16" t="s">
        <v>75</v>
      </c>
      <c r="AL19" s="16" t="s">
        <v>75</v>
      </c>
      <c r="AM19" s="16" t="s">
        <v>75</v>
      </c>
      <c r="AN19" s="16" t="s">
        <v>75</v>
      </c>
      <c r="AO19" s="6" t="s">
        <v>75</v>
      </c>
      <c r="AP19" s="6" t="s">
        <v>75</v>
      </c>
      <c r="AQ19" s="6" t="s">
        <v>75</v>
      </c>
      <c r="AR19" s="6" t="s">
        <v>76</v>
      </c>
      <c r="AS19" s="27" t="s">
        <v>318</v>
      </c>
      <c r="AT19" s="301"/>
      <c r="AU19" s="40" t="s">
        <v>319</v>
      </c>
      <c r="AV19" s="13" t="s">
        <v>320</v>
      </c>
      <c r="AW19" s="13"/>
      <c r="AX19" s="13"/>
      <c r="AY19" s="13" t="s">
        <v>81</v>
      </c>
      <c r="AZ19" s="13" t="s">
        <v>321</v>
      </c>
      <c r="BA19" s="13" t="s">
        <v>322</v>
      </c>
      <c r="BB19" s="13"/>
      <c r="BC19" s="13" t="s">
        <v>84</v>
      </c>
      <c r="BD19" s="13"/>
      <c r="BE19" s="319">
        <f>VLOOKUP(B19,'TEAMS_30-09-2021'!$D:$AG,30,FALSE)</f>
        <v>0</v>
      </c>
      <c r="BF19" s="319" t="e">
        <f>VLOOKUP(B19,'ENCUESTAS JUN-2021'!I:I,1,FALSE)</f>
        <v>#N/A</v>
      </c>
      <c r="BG19" s="63" t="str">
        <f>VLOOKUP(B19,'TEAMS_30-09-2021'!D:D,1,FALSE)</f>
        <v>Rheinish Friedrich-Wilhems-Universität Bonn</v>
      </c>
      <c r="BH19" s="71"/>
      <c r="BI19" s="7"/>
    </row>
    <row r="20" spans="1:64" s="19" customFormat="1" ht="20.100000000000001" hidden="1" customHeight="1">
      <c r="A20" s="357">
        <v>19</v>
      </c>
      <c r="B20" s="13" t="s">
        <v>323</v>
      </c>
      <c r="C20" s="252" t="s">
        <v>324</v>
      </c>
      <c r="D20" s="63"/>
      <c r="E20" s="6" t="s">
        <v>325</v>
      </c>
      <c r="F20" s="6" t="s">
        <v>285</v>
      </c>
      <c r="G20" s="6"/>
      <c r="H20" s="209" t="s">
        <v>326</v>
      </c>
      <c r="I20" s="216" t="s">
        <v>169</v>
      </c>
      <c r="J20" s="216" t="s">
        <v>118</v>
      </c>
      <c r="K20" s="209" t="s">
        <v>327</v>
      </c>
      <c r="L20" s="216" t="s">
        <v>193</v>
      </c>
      <c r="M20" s="216" t="s">
        <v>208</v>
      </c>
      <c r="N20" s="6" t="s">
        <v>69</v>
      </c>
      <c r="O20" s="6"/>
      <c r="P20" s="6" t="s">
        <v>70</v>
      </c>
      <c r="Q20" s="6"/>
      <c r="R20" s="6"/>
      <c r="S20" s="150" t="s">
        <v>194</v>
      </c>
      <c r="T20" s="6" t="s">
        <v>72</v>
      </c>
      <c r="U20" s="36">
        <v>2</v>
      </c>
      <c r="V20" s="36">
        <v>12</v>
      </c>
      <c r="W20" s="36" t="s">
        <v>328</v>
      </c>
      <c r="X20" s="36" t="s">
        <v>329</v>
      </c>
      <c r="Y20" s="6" t="s">
        <v>75</v>
      </c>
      <c r="Z20" s="6" t="s">
        <v>75</v>
      </c>
      <c r="AA20" s="6" t="s">
        <v>76</v>
      </c>
      <c r="AB20" s="6" t="s">
        <v>76</v>
      </c>
      <c r="AC20" s="6" t="s">
        <v>75</v>
      </c>
      <c r="AD20" s="6" t="str">
        <f>_xlfn.TEXTJOIN("/",TRUE,IF(OfertaPlazas[[#This Row],[GITST]]="SI","GITST",""),IF(OfertaPlazas[[#This Row],[GIB]]="SI","GIB",""),IF(OfertaPlazas[[#This Row],[GISD]]="SI","GISD",""),IF(OfertaPlazas[[#This Row],[MASTER]]="SI","MASTER",""))</f>
        <v>GITST/MASTER</v>
      </c>
      <c r="AE20" s="16" t="s">
        <v>75</v>
      </c>
      <c r="AF20" s="16" t="s">
        <v>75</v>
      </c>
      <c r="AG20" s="16" t="s">
        <v>75</v>
      </c>
      <c r="AH20" s="16" t="s">
        <v>75</v>
      </c>
      <c r="AI20" s="16" t="s">
        <v>75</v>
      </c>
      <c r="AJ20" s="16" t="s">
        <v>75</v>
      </c>
      <c r="AK20" s="16" t="s">
        <v>75</v>
      </c>
      <c r="AL20" s="16" t="s">
        <v>75</v>
      </c>
      <c r="AM20" s="16" t="s">
        <v>75</v>
      </c>
      <c r="AN20" s="16" t="s">
        <v>75</v>
      </c>
      <c r="AO20" s="6" t="s">
        <v>75</v>
      </c>
      <c r="AP20" s="6" t="s">
        <v>75</v>
      </c>
      <c r="AQ20" s="6" t="s">
        <v>75</v>
      </c>
      <c r="AR20" s="6" t="s">
        <v>76</v>
      </c>
      <c r="AS20" s="185" t="s">
        <v>330</v>
      </c>
      <c r="AT20" s="301"/>
      <c r="AU20" s="40" t="s">
        <v>331</v>
      </c>
      <c r="AV20" s="13" t="s">
        <v>332</v>
      </c>
      <c r="AW20" s="13"/>
      <c r="AX20" s="13"/>
      <c r="AY20" s="13" t="s">
        <v>129</v>
      </c>
      <c r="AZ20" s="13" t="s">
        <v>200</v>
      </c>
      <c r="BA20" s="13"/>
      <c r="BB20" s="13"/>
      <c r="BC20" s="13" t="s">
        <v>131</v>
      </c>
      <c r="BD20" s="13"/>
      <c r="BE20" s="319">
        <f>VLOOKUP(B20,'TEAMS_30-09-2021'!$D:$AG,30,FALSE)</f>
        <v>0</v>
      </c>
      <c r="BF20" s="319" t="e">
        <f>VLOOKUP(B20,'ENCUESTAS JUN-2021'!I:I,1,FALSE)</f>
        <v>#N/A</v>
      </c>
      <c r="BG20" s="63" t="str">
        <f>VLOOKUP(B20,'TEAMS_30-09-2021'!D:D,1,FALSE)</f>
        <v>Technische Universität Braunschweig</v>
      </c>
      <c r="BH20" s="71"/>
      <c r="BI20" s="7"/>
    </row>
    <row r="21" spans="1:64" s="19" customFormat="1" ht="20.100000000000001" hidden="1" customHeight="1">
      <c r="A21" s="357">
        <v>20</v>
      </c>
      <c r="B21" s="13" t="s">
        <v>333</v>
      </c>
      <c r="C21" s="252" t="s">
        <v>333</v>
      </c>
      <c r="D21" s="63" t="s">
        <v>334</v>
      </c>
      <c r="E21" s="6" t="s">
        <v>335</v>
      </c>
      <c r="F21" s="6" t="s">
        <v>285</v>
      </c>
      <c r="G21" s="36" t="s">
        <v>336</v>
      </c>
      <c r="H21" s="209" t="s">
        <v>337</v>
      </c>
      <c r="I21" s="216" t="s">
        <v>229</v>
      </c>
      <c r="J21" s="216" t="s">
        <v>169</v>
      </c>
      <c r="K21" s="209" t="s">
        <v>338</v>
      </c>
      <c r="L21" s="216" t="s">
        <v>192</v>
      </c>
      <c r="M21" s="216" t="s">
        <v>193</v>
      </c>
      <c r="N21" s="6" t="s">
        <v>69</v>
      </c>
      <c r="O21" s="6"/>
      <c r="P21" s="6" t="s">
        <v>70</v>
      </c>
      <c r="Q21" s="6"/>
      <c r="R21" s="6"/>
      <c r="S21" s="150" t="s">
        <v>194</v>
      </c>
      <c r="T21" s="6" t="s">
        <v>72</v>
      </c>
      <c r="U21" s="36">
        <v>4</v>
      </c>
      <c r="V21" s="36">
        <v>12</v>
      </c>
      <c r="W21" s="36" t="s">
        <v>339</v>
      </c>
      <c r="X21" s="36" t="s">
        <v>340</v>
      </c>
      <c r="Y21" s="6" t="s">
        <v>75</v>
      </c>
      <c r="Z21" s="6" t="s">
        <v>75</v>
      </c>
      <c r="AA21" s="6" t="s">
        <v>76</v>
      </c>
      <c r="AB21" s="6" t="s">
        <v>76</v>
      </c>
      <c r="AC21" s="6" t="s">
        <v>75</v>
      </c>
      <c r="AD21" s="6" t="str">
        <f>_xlfn.TEXTJOIN("/",TRUE,IF(OfertaPlazas[[#This Row],[GITST]]="SI","GITST",""),IF(OfertaPlazas[[#This Row],[GIB]]="SI","GIB",""),IF(OfertaPlazas[[#This Row],[GISD]]="SI","GISD",""),IF(OfertaPlazas[[#This Row],[MASTER]]="SI","MASTER",""))</f>
        <v>GITST/MASTER</v>
      </c>
      <c r="AE21" s="16" t="s">
        <v>75</v>
      </c>
      <c r="AF21" s="16" t="s">
        <v>75</v>
      </c>
      <c r="AG21" s="16" t="s">
        <v>75</v>
      </c>
      <c r="AH21" s="16" t="s">
        <v>75</v>
      </c>
      <c r="AI21" s="16" t="s">
        <v>75</v>
      </c>
      <c r="AJ21" s="16" t="s">
        <v>75</v>
      </c>
      <c r="AK21" s="16" t="s">
        <v>75</v>
      </c>
      <c r="AL21" s="16" t="s">
        <v>75</v>
      </c>
      <c r="AM21" s="16" t="s">
        <v>75</v>
      </c>
      <c r="AN21" s="16" t="s">
        <v>75</v>
      </c>
      <c r="AO21" s="6" t="s">
        <v>75</v>
      </c>
      <c r="AP21" s="6" t="s">
        <v>75</v>
      </c>
      <c r="AQ21" s="6" t="s">
        <v>75</v>
      </c>
      <c r="AR21" s="6" t="s">
        <v>75</v>
      </c>
      <c r="AS21" s="301" t="s">
        <v>341</v>
      </c>
      <c r="AT21" s="301" t="s">
        <v>342</v>
      </c>
      <c r="AU21" s="40" t="s">
        <v>343</v>
      </c>
      <c r="AV21" s="13"/>
      <c r="AW21" s="13"/>
      <c r="AX21" s="13"/>
      <c r="AY21" s="13" t="s">
        <v>129</v>
      </c>
      <c r="AZ21" s="13" t="s">
        <v>130</v>
      </c>
      <c r="BA21" s="13"/>
      <c r="BB21" s="13"/>
      <c r="BC21" s="13" t="s">
        <v>131</v>
      </c>
      <c r="BD21" s="13"/>
      <c r="BE21" s="319">
        <f>VLOOKUP(B21,'TEAMS_30-09-2021'!$D:$AG,30,FALSE)</f>
        <v>0</v>
      </c>
      <c r="BF21" s="319" t="e">
        <f>VLOOKUP(B21,'ENCUESTAS JUN-2021'!I:I,1,FALSE)</f>
        <v>#N/A</v>
      </c>
      <c r="BG21" s="63" t="str">
        <f>VLOOKUP(B21,'TEAMS_30-09-2021'!D:D,1,FALSE)</f>
        <v>Technische Universität Darmstadt</v>
      </c>
      <c r="BH21" s="13"/>
    </row>
    <row r="22" spans="1:64" s="19" customFormat="1" ht="20.100000000000001" hidden="1" customHeight="1">
      <c r="A22" s="357">
        <v>21</v>
      </c>
      <c r="B22" s="72" t="s">
        <v>344</v>
      </c>
      <c r="C22" s="252" t="s">
        <v>345</v>
      </c>
      <c r="D22" s="63" t="s">
        <v>346</v>
      </c>
      <c r="E22" s="6" t="s">
        <v>347</v>
      </c>
      <c r="F22" s="6" t="s">
        <v>285</v>
      </c>
      <c r="G22" s="6"/>
      <c r="H22" s="209" t="s">
        <v>348</v>
      </c>
      <c r="I22" s="216" t="s">
        <v>169</v>
      </c>
      <c r="J22" s="216" t="s">
        <v>139</v>
      </c>
      <c r="K22" s="209" t="s">
        <v>349</v>
      </c>
      <c r="L22" s="216" t="s">
        <v>193</v>
      </c>
      <c r="M22" s="216" t="s">
        <v>92</v>
      </c>
      <c r="N22" s="6" t="s">
        <v>69</v>
      </c>
      <c r="O22" s="6"/>
      <c r="P22" s="6" t="s">
        <v>70</v>
      </c>
      <c r="Q22" s="6"/>
      <c r="R22" s="6" t="s">
        <v>70</v>
      </c>
      <c r="S22" s="150" t="s">
        <v>123</v>
      </c>
      <c r="T22" s="6" t="s">
        <v>72</v>
      </c>
      <c r="U22" s="36">
        <v>4</v>
      </c>
      <c r="V22" s="36">
        <v>10</v>
      </c>
      <c r="W22" s="36" t="s">
        <v>350</v>
      </c>
      <c r="X22" s="36" t="s">
        <v>125</v>
      </c>
      <c r="Y22" s="6" t="s">
        <v>75</v>
      </c>
      <c r="Z22" s="6" t="s">
        <v>75</v>
      </c>
      <c r="AA22" s="6" t="s">
        <v>75</v>
      </c>
      <c r="AB22" s="6" t="s">
        <v>76</v>
      </c>
      <c r="AC22" s="6" t="s">
        <v>75</v>
      </c>
      <c r="AD22" s="6" t="str">
        <f>_xlfn.TEXTJOIN("/",TRUE,IF(OfertaPlazas[[#This Row],[GITST]]="SI","GITST",""),IF(OfertaPlazas[[#This Row],[GIB]]="SI","GIB",""),IF(OfertaPlazas[[#This Row],[GISD]]="SI","GISD",""),IF(OfertaPlazas[[#This Row],[MASTER]]="SI","MASTER",""))</f>
        <v>GITST/GIB/MASTER</v>
      </c>
      <c r="AE22" s="16" t="s">
        <v>75</v>
      </c>
      <c r="AF22" s="16" t="s">
        <v>75</v>
      </c>
      <c r="AG22" s="16" t="s">
        <v>75</v>
      </c>
      <c r="AH22" s="16" t="s">
        <v>75</v>
      </c>
      <c r="AI22" s="16" t="s">
        <v>75</v>
      </c>
      <c r="AJ22" s="16" t="s">
        <v>75</v>
      </c>
      <c r="AK22" s="16" t="s">
        <v>75</v>
      </c>
      <c r="AL22" s="16" t="s">
        <v>75</v>
      </c>
      <c r="AM22" s="16" t="s">
        <v>75</v>
      </c>
      <c r="AN22" s="16" t="s">
        <v>75</v>
      </c>
      <c r="AO22" s="6" t="s">
        <v>75</v>
      </c>
      <c r="AP22" s="6" t="s">
        <v>75</v>
      </c>
      <c r="AQ22" s="6" t="s">
        <v>75</v>
      </c>
      <c r="AR22" s="6" t="s">
        <v>76</v>
      </c>
      <c r="AS22" s="301" t="s">
        <v>351</v>
      </c>
      <c r="AT22" s="301" t="s">
        <v>352</v>
      </c>
      <c r="AU22" s="305" t="s">
        <v>353</v>
      </c>
      <c r="AV22" s="13"/>
      <c r="AW22" s="13"/>
      <c r="AX22" s="13"/>
      <c r="AY22" s="13" t="s">
        <v>81</v>
      </c>
      <c r="AZ22" s="13" t="s">
        <v>354</v>
      </c>
      <c r="BA22" s="13" t="s">
        <v>355</v>
      </c>
      <c r="BB22" s="13"/>
      <c r="BC22" s="13" t="s">
        <v>84</v>
      </c>
      <c r="BD22" s="13"/>
      <c r="BE22" s="319" t="str">
        <f>VLOOKUP(B22,'TEAMS_30-09-2021'!$D:$AG,30,FALSE)</f>
        <v>ok</v>
      </c>
      <c r="BF22" s="320" t="str">
        <f>VLOOKUP(B22,'ENCUESTAS JUN-2021'!I:I,1,FALSE)</f>
        <v>Friedrich-Alexander Universität FAU</v>
      </c>
      <c r="BG22" s="63" t="str">
        <f>VLOOKUP(B22,'TEAMS_30-09-2021'!D:D,1,FALSE)</f>
        <v>Friedrich-Alexander Universität FAU</v>
      </c>
      <c r="BH22" s="71"/>
      <c r="BI22" s="7"/>
    </row>
    <row r="23" spans="1:64" s="19" customFormat="1" ht="20.100000000000001" hidden="1" customHeight="1">
      <c r="A23" s="357">
        <v>22</v>
      </c>
      <c r="B23" s="72" t="s">
        <v>356</v>
      </c>
      <c r="C23" s="252" t="s">
        <v>357</v>
      </c>
      <c r="D23" s="63" t="s">
        <v>358</v>
      </c>
      <c r="E23" s="6" t="s">
        <v>359</v>
      </c>
      <c r="F23" s="6" t="s">
        <v>285</v>
      </c>
      <c r="G23" s="6"/>
      <c r="H23" s="209" t="s">
        <v>360</v>
      </c>
      <c r="I23" s="216" t="s">
        <v>361</v>
      </c>
      <c r="J23" s="216" t="s">
        <v>90</v>
      </c>
      <c r="K23" s="209" t="s">
        <v>362</v>
      </c>
      <c r="L23" s="216" t="s">
        <v>363</v>
      </c>
      <c r="M23" s="216" t="s">
        <v>121</v>
      </c>
      <c r="N23" s="6" t="s">
        <v>69</v>
      </c>
      <c r="O23" s="6"/>
      <c r="P23" s="6" t="s">
        <v>70</v>
      </c>
      <c r="Q23" s="6"/>
      <c r="R23" s="6" t="s">
        <v>70</v>
      </c>
      <c r="S23" s="150" t="s">
        <v>123</v>
      </c>
      <c r="T23" s="6" t="s">
        <v>72</v>
      </c>
      <c r="U23" s="36">
        <v>6</v>
      </c>
      <c r="V23" s="36">
        <v>12</v>
      </c>
      <c r="W23" s="36" t="s">
        <v>364</v>
      </c>
      <c r="X23" s="36" t="s">
        <v>125</v>
      </c>
      <c r="Y23" s="6" t="s">
        <v>75</v>
      </c>
      <c r="Z23" s="6" t="s">
        <v>75</v>
      </c>
      <c r="AA23" s="6" t="s">
        <v>75</v>
      </c>
      <c r="AB23" s="6" t="s">
        <v>76</v>
      </c>
      <c r="AC23" s="6" t="s">
        <v>75</v>
      </c>
      <c r="AD23" s="6" t="str">
        <f>_xlfn.TEXTJOIN("/",TRUE,IF(OfertaPlazas[[#This Row],[GITST]]="SI","GITST",""),IF(OfertaPlazas[[#This Row],[GIB]]="SI","GIB",""),IF(OfertaPlazas[[#This Row],[GISD]]="SI","GISD",""),IF(OfertaPlazas[[#This Row],[MASTER]]="SI","MASTER",""))</f>
        <v>GITST/GIB/MASTER</v>
      </c>
      <c r="AE23" s="16" t="s">
        <v>75</v>
      </c>
      <c r="AF23" s="16" t="s">
        <v>75</v>
      </c>
      <c r="AG23" s="16" t="s">
        <v>75</v>
      </c>
      <c r="AH23" s="16" t="s">
        <v>75</v>
      </c>
      <c r="AI23" s="16" t="s">
        <v>75</v>
      </c>
      <c r="AJ23" s="16" t="s">
        <v>75</v>
      </c>
      <c r="AK23" s="16" t="s">
        <v>75</v>
      </c>
      <c r="AL23" s="16" t="s">
        <v>75</v>
      </c>
      <c r="AM23" s="16" t="s">
        <v>75</v>
      </c>
      <c r="AN23" s="16" t="s">
        <v>75</v>
      </c>
      <c r="AO23" s="6" t="s">
        <v>75</v>
      </c>
      <c r="AP23" s="6" t="s">
        <v>75</v>
      </c>
      <c r="AQ23" s="6" t="s">
        <v>75</v>
      </c>
      <c r="AR23" s="6" t="s">
        <v>76</v>
      </c>
      <c r="AS23" s="27" t="s">
        <v>365</v>
      </c>
      <c r="AT23" s="301" t="s">
        <v>366</v>
      </c>
      <c r="AU23" s="40" t="s">
        <v>367</v>
      </c>
      <c r="AV23" s="13"/>
      <c r="AW23" s="13"/>
      <c r="AX23" s="13"/>
      <c r="AY23" s="13" t="s">
        <v>81</v>
      </c>
      <c r="AZ23" s="13" t="s">
        <v>368</v>
      </c>
      <c r="BA23" s="13" t="s">
        <v>369</v>
      </c>
      <c r="BB23" s="13"/>
      <c r="BC23" s="13" t="s">
        <v>84</v>
      </c>
      <c r="BD23" s="13"/>
      <c r="BE23" s="319" t="e">
        <f>VLOOKUP(B23,'TEAMS_30-09-2021'!$D:$AG,30,FALSE)</f>
        <v>#N/A</v>
      </c>
      <c r="BF23" s="320" t="e">
        <f>VLOOKUP(B23,'ENCUESTAS JUN-2021'!I:I,1,FALSE)</f>
        <v>#N/A</v>
      </c>
      <c r="BG23" s="63" t="e">
        <f>VLOOKUP(B23,'TEAMS_30-09-2021'!D:D,1,FALSE)</f>
        <v>#N/A</v>
      </c>
      <c r="BH23" s="71"/>
      <c r="BI23" s="7"/>
    </row>
    <row r="24" spans="1:64" s="19" customFormat="1" ht="20.100000000000001" hidden="1" customHeight="1">
      <c r="A24" s="357">
        <v>23</v>
      </c>
      <c r="B24" s="13" t="s">
        <v>370</v>
      </c>
      <c r="C24" s="252" t="s">
        <v>371</v>
      </c>
      <c r="D24" s="63" t="s">
        <v>372</v>
      </c>
      <c r="E24" s="54" t="s">
        <v>373</v>
      </c>
      <c r="F24" s="6" t="s">
        <v>285</v>
      </c>
      <c r="G24" s="6"/>
      <c r="H24" s="209" t="s">
        <v>374</v>
      </c>
      <c r="I24" s="216" t="s">
        <v>118</v>
      </c>
      <c r="J24" s="216" t="s">
        <v>118</v>
      </c>
      <c r="K24" s="209" t="s">
        <v>375</v>
      </c>
      <c r="L24" s="216" t="s">
        <v>208</v>
      </c>
      <c r="M24" s="216" t="s">
        <v>208</v>
      </c>
      <c r="N24" s="6" t="s">
        <v>69</v>
      </c>
      <c r="O24" s="6" t="s">
        <v>70</v>
      </c>
      <c r="P24" s="6" t="s">
        <v>70</v>
      </c>
      <c r="Q24" s="6" t="s">
        <v>70</v>
      </c>
      <c r="R24" s="6"/>
      <c r="S24" s="150" t="s">
        <v>376</v>
      </c>
      <c r="T24" s="6" t="s">
        <v>72</v>
      </c>
      <c r="U24" s="36">
        <v>1</v>
      </c>
      <c r="V24" s="36">
        <v>12</v>
      </c>
      <c r="W24" s="337" t="s">
        <v>377</v>
      </c>
      <c r="X24" s="36" t="s">
        <v>125</v>
      </c>
      <c r="Y24" s="6" t="s">
        <v>75</v>
      </c>
      <c r="Z24" s="6" t="s">
        <v>75</v>
      </c>
      <c r="AA24" s="6" t="s">
        <v>76</v>
      </c>
      <c r="AB24" s="6" t="s">
        <v>75</v>
      </c>
      <c r="AC24" s="6" t="s">
        <v>75</v>
      </c>
      <c r="AD24" s="6" t="str">
        <f>_xlfn.TEXTJOIN("/",TRUE,IF(OfertaPlazas[[#This Row],[GITST]]="SI","GITST",""),IF(OfertaPlazas[[#This Row],[GIB]]="SI","GIB",""),IF(OfertaPlazas[[#This Row],[GISD]]="SI","GISD",""),IF(OfertaPlazas[[#This Row],[MASTER]]="SI","MASTER",""))</f>
        <v>GITST/GISD/MASTER</v>
      </c>
      <c r="AE24" s="16" t="s">
        <v>75</v>
      </c>
      <c r="AF24" s="16" t="s">
        <v>75</v>
      </c>
      <c r="AG24" s="16" t="s">
        <v>75</v>
      </c>
      <c r="AH24" s="16" t="s">
        <v>75</v>
      </c>
      <c r="AI24" s="16" t="s">
        <v>75</v>
      </c>
      <c r="AJ24" s="16" t="s">
        <v>75</v>
      </c>
      <c r="AK24" s="16" t="s">
        <v>75</v>
      </c>
      <c r="AL24" s="16" t="s">
        <v>75</v>
      </c>
      <c r="AM24" s="16" t="s">
        <v>75</v>
      </c>
      <c r="AN24" s="16" t="s">
        <v>75</v>
      </c>
      <c r="AO24" s="6" t="s">
        <v>75</v>
      </c>
      <c r="AP24" s="6" t="s">
        <v>75</v>
      </c>
      <c r="AQ24" s="6" t="s">
        <v>75</v>
      </c>
      <c r="AR24" s="6" t="s">
        <v>76</v>
      </c>
      <c r="AS24" s="27" t="s">
        <v>276</v>
      </c>
      <c r="AT24" s="301"/>
      <c r="AU24" s="40" t="s">
        <v>378</v>
      </c>
      <c r="AV24" s="13"/>
      <c r="AW24" s="13"/>
      <c r="AX24" s="13"/>
      <c r="AY24" s="13" t="s">
        <v>81</v>
      </c>
      <c r="AZ24" s="13" t="s">
        <v>379</v>
      </c>
      <c r="BA24" s="13" t="s">
        <v>380</v>
      </c>
      <c r="BB24" s="13"/>
      <c r="BC24" s="13" t="s">
        <v>84</v>
      </c>
      <c r="BD24" s="13"/>
      <c r="BE24" s="319">
        <f>VLOOKUP(B24,'TEAMS_30-09-2021'!$D:$AG,30,FALSE)</f>
        <v>0</v>
      </c>
      <c r="BF24" s="319" t="e">
        <f>VLOOKUP(B24,'ENCUESTAS JUN-2021'!I:I,1,FALSE)</f>
        <v>#N/A</v>
      </c>
      <c r="BG24" s="63" t="str">
        <f>VLOOKUP(B24,'TEAMS_30-09-2021'!D:D,1,FALSE)</f>
        <v>Universität Kassel</v>
      </c>
      <c r="BH24" s="71"/>
      <c r="BI24" s="7"/>
    </row>
    <row r="25" spans="1:64" s="19" customFormat="1" ht="20.100000000000001" hidden="1" customHeight="1">
      <c r="A25" s="357">
        <v>24</v>
      </c>
      <c r="B25" s="13" t="s">
        <v>381</v>
      </c>
      <c r="C25" s="252" t="s">
        <v>382</v>
      </c>
      <c r="D25" s="63" t="s">
        <v>383</v>
      </c>
      <c r="E25" s="6" t="s">
        <v>384</v>
      </c>
      <c r="F25" s="6" t="s">
        <v>285</v>
      </c>
      <c r="G25" s="6"/>
      <c r="H25" s="209" t="s">
        <v>385</v>
      </c>
      <c r="I25" s="216" t="s">
        <v>169</v>
      </c>
      <c r="J25" s="216" t="s">
        <v>118</v>
      </c>
      <c r="K25" s="209" t="s">
        <v>386</v>
      </c>
      <c r="L25" s="216" t="s">
        <v>192</v>
      </c>
      <c r="M25" s="216" t="s">
        <v>92</v>
      </c>
      <c r="N25" s="6" t="s">
        <v>69</v>
      </c>
      <c r="O25" s="6"/>
      <c r="P25" s="6" t="s">
        <v>70</v>
      </c>
      <c r="Q25" s="6"/>
      <c r="R25" s="6" t="s">
        <v>70</v>
      </c>
      <c r="S25" s="150" t="s">
        <v>123</v>
      </c>
      <c r="T25" s="6" t="s">
        <v>72</v>
      </c>
      <c r="U25" s="36">
        <v>2</v>
      </c>
      <c r="V25" s="36">
        <v>12</v>
      </c>
      <c r="W25" s="337" t="s">
        <v>387</v>
      </c>
      <c r="X25" s="36" t="s">
        <v>388</v>
      </c>
      <c r="Y25" s="6" t="s">
        <v>75</v>
      </c>
      <c r="Z25" s="6" t="s">
        <v>75</v>
      </c>
      <c r="AA25" s="6" t="s">
        <v>75</v>
      </c>
      <c r="AB25" s="6" t="s">
        <v>76</v>
      </c>
      <c r="AC25" s="6" t="s">
        <v>75</v>
      </c>
      <c r="AD25" s="6" t="str">
        <f>_xlfn.TEXTJOIN("/",TRUE,IF(OfertaPlazas[[#This Row],[GITST]]="SI","GITST",""),IF(OfertaPlazas[[#This Row],[GIB]]="SI","GIB",""),IF(OfertaPlazas[[#This Row],[GISD]]="SI","GISD",""),IF(OfertaPlazas[[#This Row],[MASTER]]="SI","MASTER",""))</f>
        <v>GITST/GIB/MASTER</v>
      </c>
      <c r="AE25" s="16" t="s">
        <v>75</v>
      </c>
      <c r="AF25" s="16" t="s">
        <v>75</v>
      </c>
      <c r="AG25" s="16" t="s">
        <v>75</v>
      </c>
      <c r="AH25" s="6" t="s">
        <v>75</v>
      </c>
      <c r="AI25" s="6" t="s">
        <v>75</v>
      </c>
      <c r="AJ25" s="6" t="s">
        <v>76</v>
      </c>
      <c r="AK25" s="6" t="s">
        <v>76</v>
      </c>
      <c r="AL25" s="6" t="s">
        <v>76</v>
      </c>
      <c r="AM25" s="6" t="s">
        <v>76</v>
      </c>
      <c r="AN25" s="6" t="s">
        <v>75</v>
      </c>
      <c r="AO25" s="6" t="s">
        <v>75</v>
      </c>
      <c r="AP25" s="6" t="s">
        <v>76</v>
      </c>
      <c r="AQ25" s="6" t="s">
        <v>75</v>
      </c>
      <c r="AR25" s="6" t="s">
        <v>76</v>
      </c>
      <c r="AS25" s="27" t="s">
        <v>389</v>
      </c>
      <c r="AT25" s="301" t="s">
        <v>390</v>
      </c>
      <c r="AU25" s="13" t="s">
        <v>391</v>
      </c>
      <c r="AV25" s="13" t="s">
        <v>392</v>
      </c>
      <c r="AW25" s="13"/>
      <c r="AX25" s="13"/>
      <c r="AY25" s="13"/>
      <c r="AZ25" s="13"/>
      <c r="BA25" s="13"/>
      <c r="BB25" s="13"/>
      <c r="BC25" s="13"/>
      <c r="BD25" s="13"/>
      <c r="BE25" s="319" t="e">
        <f>VLOOKUP(B25,'TEAMS_30-09-2021'!$D:$AG,30,FALSE)</f>
        <v>#N/A</v>
      </c>
      <c r="BF25" s="319" t="e">
        <f>VLOOKUP(B25,'ENCUESTAS JUN-2021'!I:I,1,FALSE)</f>
        <v>#N/A</v>
      </c>
      <c r="BG25" s="63" t="e">
        <f>VLOOKUP(B25,'TEAMS_30-09-2021'!D:D,1,FALSE)</f>
        <v>#N/A</v>
      </c>
      <c r="BH25" s="13"/>
      <c r="BI25" s="69"/>
    </row>
    <row r="26" spans="1:64" s="19" customFormat="1" ht="21.75" hidden="1" customHeight="1">
      <c r="A26" s="357">
        <v>25</v>
      </c>
      <c r="B26" s="72" t="s">
        <v>393</v>
      </c>
      <c r="C26" s="252" t="s">
        <v>394</v>
      </c>
      <c r="D26" s="63" t="s">
        <v>395</v>
      </c>
      <c r="E26" s="6" t="s">
        <v>396</v>
      </c>
      <c r="F26" s="6" t="s">
        <v>285</v>
      </c>
      <c r="G26" s="6"/>
      <c r="H26" s="209" t="s">
        <v>397</v>
      </c>
      <c r="I26" s="216" t="s">
        <v>169</v>
      </c>
      <c r="J26" s="216" t="s">
        <v>398</v>
      </c>
      <c r="K26" s="209" t="s">
        <v>399</v>
      </c>
      <c r="L26" s="216" t="s">
        <v>400</v>
      </c>
      <c r="M26" s="216"/>
      <c r="N26" s="6" t="s">
        <v>69</v>
      </c>
      <c r="O26" s="6" t="s">
        <v>70</v>
      </c>
      <c r="P26" s="6"/>
      <c r="Q26" s="6"/>
      <c r="R26" s="6"/>
      <c r="S26" s="150" t="s">
        <v>401</v>
      </c>
      <c r="T26" s="6" t="s">
        <v>72</v>
      </c>
      <c r="U26" s="36">
        <v>3</v>
      </c>
      <c r="V26" s="36">
        <v>12</v>
      </c>
      <c r="W26" s="36" t="s">
        <v>402</v>
      </c>
      <c r="X26" s="36" t="s">
        <v>403</v>
      </c>
      <c r="Y26" s="6" t="s">
        <v>75</v>
      </c>
      <c r="Z26" s="6" t="s">
        <v>75</v>
      </c>
      <c r="AA26" s="6" t="s">
        <v>76</v>
      </c>
      <c r="AB26" s="6" t="s">
        <v>76</v>
      </c>
      <c r="AC26" s="6" t="s">
        <v>75</v>
      </c>
      <c r="AD26" s="6" t="str">
        <f>_xlfn.TEXTJOIN("/",TRUE,IF(OfertaPlazas[[#This Row],[GITST]]="SI","GITST",""),IF(OfertaPlazas[[#This Row],[GIB]]="SI","GIB",""),IF(OfertaPlazas[[#This Row],[GISD]]="SI","GISD",""),IF(OfertaPlazas[[#This Row],[MASTER]]="SI","MASTER",""))</f>
        <v>GITST/MASTER</v>
      </c>
      <c r="AE26" s="16" t="s">
        <v>75</v>
      </c>
      <c r="AF26" s="16" t="s">
        <v>75</v>
      </c>
      <c r="AG26" s="16" t="s">
        <v>75</v>
      </c>
      <c r="AH26" s="16" t="s">
        <v>75</v>
      </c>
      <c r="AI26" s="16" t="s">
        <v>75</v>
      </c>
      <c r="AJ26" s="16" t="s">
        <v>75</v>
      </c>
      <c r="AK26" s="16" t="s">
        <v>75</v>
      </c>
      <c r="AL26" s="16" t="s">
        <v>75</v>
      </c>
      <c r="AM26" s="16" t="s">
        <v>75</v>
      </c>
      <c r="AN26" s="16" t="s">
        <v>75</v>
      </c>
      <c r="AO26" s="6" t="s">
        <v>75</v>
      </c>
      <c r="AP26" s="6" t="s">
        <v>75</v>
      </c>
      <c r="AQ26" s="6" t="s">
        <v>75</v>
      </c>
      <c r="AR26" s="6" t="s">
        <v>76</v>
      </c>
      <c r="AS26" s="27" t="s">
        <v>404</v>
      </c>
      <c r="AT26" s="301" t="s">
        <v>405</v>
      </c>
      <c r="AU26" s="72" t="s">
        <v>406</v>
      </c>
      <c r="AV26" s="259" t="s">
        <v>407</v>
      </c>
      <c r="AW26" s="259"/>
      <c r="AX26" s="13"/>
      <c r="AY26" s="13" t="s">
        <v>81</v>
      </c>
      <c r="AZ26" s="13" t="s">
        <v>130</v>
      </c>
      <c r="BA26" s="13" t="s">
        <v>408</v>
      </c>
      <c r="BB26" s="13"/>
      <c r="BC26" s="13" t="s">
        <v>131</v>
      </c>
      <c r="BD26" s="13"/>
      <c r="BE26" s="319">
        <f>VLOOKUP(B26,'TEAMS_30-09-2021'!$D:$AG,30,FALSE)</f>
        <v>0</v>
      </c>
      <c r="BF26" s="319" t="e">
        <f>VLOOKUP(B26,'ENCUESTAS JUN-2021'!I:I,1,FALSE)</f>
        <v>#N/A</v>
      </c>
      <c r="BG26" s="63" t="str">
        <f>VLOOKUP(B26,'TEAMS_30-09-2021'!D:D,1,FALSE)</f>
        <v>Technische Universität München</v>
      </c>
      <c r="BH26" s="71"/>
      <c r="BI26" s="7"/>
    </row>
    <row r="27" spans="1:64" s="19" customFormat="1" ht="20.100000000000001" hidden="1" customHeight="1">
      <c r="A27" s="357">
        <v>26</v>
      </c>
      <c r="B27" s="72" t="s">
        <v>409</v>
      </c>
      <c r="C27" s="252" t="s">
        <v>410</v>
      </c>
      <c r="D27" s="63" t="s">
        <v>411</v>
      </c>
      <c r="E27" s="6" t="s">
        <v>412</v>
      </c>
      <c r="F27" s="6" t="s">
        <v>285</v>
      </c>
      <c r="G27" s="6"/>
      <c r="H27" s="209" t="s">
        <v>413</v>
      </c>
      <c r="I27" s="216" t="s">
        <v>90</v>
      </c>
      <c r="J27" s="216" t="s">
        <v>119</v>
      </c>
      <c r="K27" s="209" t="s">
        <v>414</v>
      </c>
      <c r="L27" s="216" t="s">
        <v>121</v>
      </c>
      <c r="M27" s="216" t="s">
        <v>415</v>
      </c>
      <c r="N27" s="6" t="s">
        <v>69</v>
      </c>
      <c r="O27" s="6"/>
      <c r="P27" s="6" t="s">
        <v>70</v>
      </c>
      <c r="Q27" s="6" t="s">
        <v>70</v>
      </c>
      <c r="R27" s="6" t="s">
        <v>72</v>
      </c>
      <c r="S27" s="150" t="s">
        <v>416</v>
      </c>
      <c r="T27" s="6" t="s">
        <v>72</v>
      </c>
      <c r="U27" s="36">
        <v>2</v>
      </c>
      <c r="V27" s="36">
        <v>12</v>
      </c>
      <c r="W27" s="36" t="s">
        <v>417</v>
      </c>
      <c r="X27" s="36" t="s">
        <v>418</v>
      </c>
      <c r="Y27" s="6" t="s">
        <v>75</v>
      </c>
      <c r="Z27" s="6" t="s">
        <v>75</v>
      </c>
      <c r="AA27" s="6" t="s">
        <v>75</v>
      </c>
      <c r="AB27" s="6" t="s">
        <v>75</v>
      </c>
      <c r="AC27" s="6" t="s">
        <v>75</v>
      </c>
      <c r="AD27" s="6" t="str">
        <f>_xlfn.TEXTJOIN("/",TRUE,IF(OfertaPlazas[[#This Row],[GITST]]="SI","GITST",""),IF(OfertaPlazas[[#This Row],[GIB]]="SI","GIB",""),IF(OfertaPlazas[[#This Row],[GISD]]="SI","GISD",""),IF(OfertaPlazas[[#This Row],[MASTER]]="SI","MASTER",""))</f>
        <v>GITST/GIB/GISD/MASTER</v>
      </c>
      <c r="AE27" s="16" t="s">
        <v>75</v>
      </c>
      <c r="AF27" s="16" t="s">
        <v>75</v>
      </c>
      <c r="AG27" s="16" t="s">
        <v>75</v>
      </c>
      <c r="AH27" s="16" t="s">
        <v>75</v>
      </c>
      <c r="AI27" s="16" t="s">
        <v>75</v>
      </c>
      <c r="AJ27" s="16" t="s">
        <v>75</v>
      </c>
      <c r="AK27" s="16" t="s">
        <v>75</v>
      </c>
      <c r="AL27" s="16" t="s">
        <v>75</v>
      </c>
      <c r="AM27" s="16" t="s">
        <v>75</v>
      </c>
      <c r="AN27" s="16" t="s">
        <v>75</v>
      </c>
      <c r="AO27" s="6" t="s">
        <v>75</v>
      </c>
      <c r="AP27" s="6" t="s">
        <v>75</v>
      </c>
      <c r="AQ27" s="6" t="s">
        <v>76</v>
      </c>
      <c r="AR27" s="6" t="s">
        <v>76</v>
      </c>
      <c r="AS27" s="185" t="s">
        <v>404</v>
      </c>
      <c r="AT27" s="301"/>
      <c r="AU27" s="13" t="s">
        <v>419</v>
      </c>
      <c r="AV27" s="301"/>
      <c r="AW27" s="301"/>
      <c r="AX27" s="13"/>
      <c r="AY27" s="13" t="s">
        <v>81</v>
      </c>
      <c r="AZ27" s="13" t="s">
        <v>420</v>
      </c>
      <c r="BA27" s="13" t="s">
        <v>421</v>
      </c>
      <c r="BB27" s="13"/>
      <c r="BC27" s="13" t="s">
        <v>84</v>
      </c>
      <c r="BD27" s="13"/>
      <c r="BE27" s="319">
        <f>VLOOKUP(B27,'TEAMS_30-09-2021'!$D:$AG,30,FALSE)</f>
        <v>0</v>
      </c>
      <c r="BF27" s="320" t="str">
        <f>VLOOKUP(B27,'ENCUESTAS JUN-2021'!I:I,1,FALSE)</f>
        <v>Universität des Saarlandes</v>
      </c>
      <c r="BG27" s="63" t="str">
        <f>VLOOKUP(B27,'TEAMS_30-09-2021'!D:D,1,FALSE)</f>
        <v>Universität des Saarlandes</v>
      </c>
      <c r="BH27" s="71"/>
      <c r="BI27" s="7"/>
      <c r="BL27" s="19" t="e">
        <f>VLOOKUP(E27,#REF!,1,FALSE)</f>
        <v>#REF!</v>
      </c>
    </row>
    <row r="28" spans="1:64" s="19" customFormat="1" ht="20.100000000000001" hidden="1" customHeight="1">
      <c r="A28" s="357">
        <v>27</v>
      </c>
      <c r="B28" s="72" t="s">
        <v>422</v>
      </c>
      <c r="C28" s="252" t="s">
        <v>423</v>
      </c>
      <c r="D28" s="63" t="s">
        <v>424</v>
      </c>
      <c r="E28" s="6" t="s">
        <v>425</v>
      </c>
      <c r="F28" s="6" t="s">
        <v>285</v>
      </c>
      <c r="G28" s="6"/>
      <c r="H28" s="209" t="s">
        <v>426</v>
      </c>
      <c r="I28" s="216" t="s">
        <v>103</v>
      </c>
      <c r="J28" s="216" t="s">
        <v>104</v>
      </c>
      <c r="K28" s="209" t="s">
        <v>427</v>
      </c>
      <c r="L28" s="216" t="s">
        <v>106</v>
      </c>
      <c r="M28" s="216" t="s">
        <v>68</v>
      </c>
      <c r="N28" s="6" t="s">
        <v>69</v>
      </c>
      <c r="O28" s="6"/>
      <c r="P28" s="6" t="s">
        <v>70</v>
      </c>
      <c r="Q28" s="6"/>
      <c r="R28" s="6" t="s">
        <v>70</v>
      </c>
      <c r="S28" s="150" t="s">
        <v>123</v>
      </c>
      <c r="T28" s="6" t="s">
        <v>72</v>
      </c>
      <c r="U28" s="36">
        <v>4</v>
      </c>
      <c r="V28" s="36">
        <v>12</v>
      </c>
      <c r="W28" s="36" t="s">
        <v>428</v>
      </c>
      <c r="X28" s="36" t="s">
        <v>429</v>
      </c>
      <c r="Y28" s="6" t="s">
        <v>75</v>
      </c>
      <c r="Z28" s="6" t="s">
        <v>75</v>
      </c>
      <c r="AA28" s="6" t="s">
        <v>75</v>
      </c>
      <c r="AB28" s="6" t="s">
        <v>76</v>
      </c>
      <c r="AC28" s="6" t="s">
        <v>75</v>
      </c>
      <c r="AD28" s="6" t="str">
        <f>_xlfn.TEXTJOIN("/",TRUE,IF(OfertaPlazas[[#This Row],[GITST]]="SI","GITST",""),IF(OfertaPlazas[[#This Row],[GIB]]="SI","GIB",""),IF(OfertaPlazas[[#This Row],[GISD]]="SI","GISD",""),IF(OfertaPlazas[[#This Row],[MASTER]]="SI","MASTER",""))</f>
        <v>GITST/GIB/MASTER</v>
      </c>
      <c r="AE28" s="16" t="s">
        <v>75</v>
      </c>
      <c r="AF28" s="16" t="s">
        <v>75</v>
      </c>
      <c r="AG28" s="16" t="s">
        <v>75</v>
      </c>
      <c r="AH28" s="16" t="s">
        <v>75</v>
      </c>
      <c r="AI28" s="16" t="s">
        <v>75</v>
      </c>
      <c r="AJ28" s="16" t="s">
        <v>75</v>
      </c>
      <c r="AK28" s="16" t="s">
        <v>75</v>
      </c>
      <c r="AL28" s="16" t="s">
        <v>75</v>
      </c>
      <c r="AM28" s="16" t="s">
        <v>75</v>
      </c>
      <c r="AN28" s="16" t="s">
        <v>75</v>
      </c>
      <c r="AO28" s="6" t="s">
        <v>75</v>
      </c>
      <c r="AP28" s="6" t="s">
        <v>75</v>
      </c>
      <c r="AQ28" s="6" t="s">
        <v>75</v>
      </c>
      <c r="AR28" s="6" t="s">
        <v>76</v>
      </c>
      <c r="AS28" s="300" t="s">
        <v>430</v>
      </c>
      <c r="AT28" s="301" t="s">
        <v>431</v>
      </c>
      <c r="AU28" s="259" t="s">
        <v>432</v>
      </c>
      <c r="AV28" s="13"/>
      <c r="AW28" s="13"/>
      <c r="AX28" s="13"/>
      <c r="AY28" s="13" t="s">
        <v>433</v>
      </c>
      <c r="AZ28" s="13" t="s">
        <v>434</v>
      </c>
      <c r="BA28" s="13"/>
      <c r="BB28" s="13"/>
      <c r="BC28" s="13" t="s">
        <v>435</v>
      </c>
      <c r="BD28" s="13"/>
      <c r="BE28" s="319" t="str">
        <f>VLOOKUP(B28,'TEAMS_30-09-2021'!$D:$AG,30,FALSE)</f>
        <v>ok</v>
      </c>
      <c r="BF28" s="320" t="str">
        <f>VLOOKUP(B28,'ENCUESTAS JUN-2021'!I:I,1,FALSE)</f>
        <v>Universität Stuttgart</v>
      </c>
      <c r="BG28" s="63" t="str">
        <f>VLOOKUP(B28,'TEAMS_30-09-2021'!D:D,1,FALSE)</f>
        <v>Universität Stuttgart</v>
      </c>
      <c r="BH28" s="6"/>
      <c r="BI28" s="53"/>
      <c r="BL28" s="19" t="e">
        <f>VLOOKUP(E28,#REF!,1,FALSE)</f>
        <v>#REF!</v>
      </c>
    </row>
    <row r="29" spans="1:64" s="19" customFormat="1" ht="20.100000000000001" hidden="1" customHeight="1">
      <c r="A29" s="357">
        <v>28</v>
      </c>
      <c r="B29" s="13" t="s">
        <v>436</v>
      </c>
      <c r="C29" s="252" t="s">
        <v>437</v>
      </c>
      <c r="D29" s="63" t="s">
        <v>438</v>
      </c>
      <c r="E29" s="6" t="s">
        <v>439</v>
      </c>
      <c r="F29" s="6" t="s">
        <v>440</v>
      </c>
      <c r="G29" s="6"/>
      <c r="H29" s="209" t="s">
        <v>441</v>
      </c>
      <c r="I29" s="216" t="s">
        <v>103</v>
      </c>
      <c r="J29" s="216" t="s">
        <v>153</v>
      </c>
      <c r="K29" s="209" t="s">
        <v>442</v>
      </c>
      <c r="L29" s="216" t="s">
        <v>443</v>
      </c>
      <c r="M29" s="216" t="s">
        <v>141</v>
      </c>
      <c r="N29" s="6" t="s">
        <v>69</v>
      </c>
      <c r="O29" s="6"/>
      <c r="P29" s="6" t="s">
        <v>70</v>
      </c>
      <c r="Q29" s="6"/>
      <c r="R29" s="6"/>
      <c r="S29" s="150" t="s">
        <v>194</v>
      </c>
      <c r="T29" s="6" t="s">
        <v>72</v>
      </c>
      <c r="U29" s="36">
        <v>1</v>
      </c>
      <c r="V29" s="36">
        <v>12</v>
      </c>
      <c r="W29" s="36" t="s">
        <v>444</v>
      </c>
      <c r="X29" s="36" t="s">
        <v>445</v>
      </c>
      <c r="Y29" s="6" t="s">
        <v>75</v>
      </c>
      <c r="Z29" s="6" t="s">
        <v>75</v>
      </c>
      <c r="AA29" s="6" t="s">
        <v>76</v>
      </c>
      <c r="AB29" s="6" t="s">
        <v>76</v>
      </c>
      <c r="AC29" s="6" t="s">
        <v>75</v>
      </c>
      <c r="AD29" s="6" t="str">
        <f>_xlfn.TEXTJOIN("/",TRUE,IF(OfertaPlazas[[#This Row],[GITST]]="SI","GITST",""),IF(OfertaPlazas[[#This Row],[GIB]]="SI","GIB",""),IF(OfertaPlazas[[#This Row],[GISD]]="SI","GISD",""),IF(OfertaPlazas[[#This Row],[MASTER]]="SI","MASTER",""))</f>
        <v>GITST/MASTER</v>
      </c>
      <c r="AE29" s="16" t="s">
        <v>75</v>
      </c>
      <c r="AF29" s="16" t="s">
        <v>75</v>
      </c>
      <c r="AG29" s="16" t="s">
        <v>75</v>
      </c>
      <c r="AH29" s="16" t="s">
        <v>75</v>
      </c>
      <c r="AI29" s="16" t="s">
        <v>75</v>
      </c>
      <c r="AJ29" s="16" t="s">
        <v>75</v>
      </c>
      <c r="AK29" s="16" t="s">
        <v>75</v>
      </c>
      <c r="AL29" s="16" t="s">
        <v>75</v>
      </c>
      <c r="AM29" s="16" t="s">
        <v>75</v>
      </c>
      <c r="AN29" s="16" t="s">
        <v>75</v>
      </c>
      <c r="AO29" s="6" t="s">
        <v>75</v>
      </c>
      <c r="AP29" s="6" t="s">
        <v>75</v>
      </c>
      <c r="AQ29" s="6" t="s">
        <v>75</v>
      </c>
      <c r="AR29" s="6" t="s">
        <v>76</v>
      </c>
      <c r="AS29" s="301" t="s">
        <v>173</v>
      </c>
      <c r="AT29" s="301" t="s">
        <v>446</v>
      </c>
      <c r="AU29" s="259" t="s">
        <v>447</v>
      </c>
      <c r="AV29" s="305" t="s">
        <v>448</v>
      </c>
      <c r="AW29" s="305"/>
      <c r="AX29" s="13"/>
      <c r="AY29" s="13"/>
      <c r="AZ29" s="13"/>
      <c r="BA29" s="13"/>
      <c r="BB29" s="13"/>
      <c r="BC29" s="13"/>
      <c r="BD29" s="13"/>
      <c r="BE29" s="319">
        <f>VLOOKUP(B29,'TEAMS_30-09-2021'!$D:$AG,30,FALSE)</f>
        <v>0</v>
      </c>
      <c r="BF29" s="319" t="e">
        <f>VLOOKUP(B29,'ENCUESTAS JUN-2021'!I:I,1,FALSE)</f>
        <v>#N/A</v>
      </c>
      <c r="BG29" s="63" t="str">
        <f>VLOOKUP(B29,'TEAMS_30-09-2021'!D:D,1,FALSE)</f>
        <v>Aalborg University</v>
      </c>
      <c r="BH29" s="72"/>
      <c r="BI29" s="143"/>
      <c r="BL29" s="19" t="e">
        <f>VLOOKUP(E29,#REF!,1,FALSE)</f>
        <v>#REF!</v>
      </c>
    </row>
    <row r="30" spans="1:64" s="19" customFormat="1" ht="20.100000000000001" hidden="1" customHeight="1">
      <c r="A30" s="357">
        <v>29</v>
      </c>
      <c r="B30" s="72" t="s">
        <v>449</v>
      </c>
      <c r="C30" s="252" t="s">
        <v>450</v>
      </c>
      <c r="D30" s="63" t="s">
        <v>451</v>
      </c>
      <c r="E30" s="6" t="s">
        <v>452</v>
      </c>
      <c r="F30" s="6" t="s">
        <v>440</v>
      </c>
      <c r="G30" s="6"/>
      <c r="H30" s="209" t="s">
        <v>244</v>
      </c>
      <c r="I30" s="216" t="s">
        <v>153</v>
      </c>
      <c r="J30" s="216" t="s">
        <v>153</v>
      </c>
      <c r="K30" s="209" t="s">
        <v>314</v>
      </c>
      <c r="L30" s="216" t="s">
        <v>68</v>
      </c>
      <c r="M30" s="216"/>
      <c r="N30" s="6" t="s">
        <v>69</v>
      </c>
      <c r="O30" s="6"/>
      <c r="P30" s="6" t="s">
        <v>70</v>
      </c>
      <c r="Q30" s="6" t="s">
        <v>70</v>
      </c>
      <c r="R30" s="6" t="s">
        <v>70</v>
      </c>
      <c r="S30" s="150" t="s">
        <v>453</v>
      </c>
      <c r="T30" s="6" t="s">
        <v>72</v>
      </c>
      <c r="U30" s="36">
        <v>2</v>
      </c>
      <c r="V30" s="36">
        <v>12</v>
      </c>
      <c r="W30" s="36" t="s">
        <v>454</v>
      </c>
      <c r="X30" s="36" t="s">
        <v>455</v>
      </c>
      <c r="Y30" s="6" t="s">
        <v>75</v>
      </c>
      <c r="Z30" s="6" t="s">
        <v>75</v>
      </c>
      <c r="AA30" s="6" t="s">
        <v>75</v>
      </c>
      <c r="AB30" s="6" t="s">
        <v>75</v>
      </c>
      <c r="AC30" s="6" t="s">
        <v>75</v>
      </c>
      <c r="AD30" s="6" t="str">
        <f>_xlfn.TEXTJOIN("/",TRUE,IF(OfertaPlazas[[#This Row],[GITST]]="SI","GITST",""),IF(OfertaPlazas[[#This Row],[GIB]]="SI","GIB",""),IF(OfertaPlazas[[#This Row],[GISD]]="SI","GISD",""),IF(OfertaPlazas[[#This Row],[MASTER]]="SI","MASTER",""))</f>
        <v>GITST/GIB/GISD/MASTER</v>
      </c>
      <c r="AE30" s="16" t="s">
        <v>75</v>
      </c>
      <c r="AF30" s="16" t="s">
        <v>75</v>
      </c>
      <c r="AG30" s="16" t="s">
        <v>75</v>
      </c>
      <c r="AH30" s="16" t="s">
        <v>75</v>
      </c>
      <c r="AI30" s="16" t="s">
        <v>75</v>
      </c>
      <c r="AJ30" s="16" t="s">
        <v>75</v>
      </c>
      <c r="AK30" s="16" t="s">
        <v>75</v>
      </c>
      <c r="AL30" s="16" t="s">
        <v>75</v>
      </c>
      <c r="AM30" s="16" t="s">
        <v>75</v>
      </c>
      <c r="AN30" s="16" t="s">
        <v>75</v>
      </c>
      <c r="AO30" s="6" t="s">
        <v>75</v>
      </c>
      <c r="AP30" s="6" t="s">
        <v>75</v>
      </c>
      <c r="AQ30" s="6" t="s">
        <v>75</v>
      </c>
      <c r="AR30" s="6" t="s">
        <v>76</v>
      </c>
      <c r="AS30" s="27" t="s">
        <v>173</v>
      </c>
      <c r="AT30" s="301" t="s">
        <v>456</v>
      </c>
      <c r="AU30" s="13" t="s">
        <v>457</v>
      </c>
      <c r="AV30" s="13"/>
      <c r="AW30" s="13"/>
      <c r="AX30" s="13"/>
      <c r="AY30" s="13"/>
      <c r="AZ30" s="13"/>
      <c r="BA30" s="13"/>
      <c r="BB30" s="13"/>
      <c r="BC30" s="13"/>
      <c r="BD30" s="13"/>
      <c r="BE30" s="319" t="e">
        <f>VLOOKUP(B30,'TEAMS_30-09-2021'!$D:$AG,30,FALSE)</f>
        <v>#N/A</v>
      </c>
      <c r="BF30" s="320" t="e">
        <f>VLOOKUP(B30,'ENCUESTAS JUN-2021'!I:I,1,FALSE)</f>
        <v>#N/A</v>
      </c>
      <c r="BG30" s="63" t="e">
        <f>VLOOKUP(B30,'TEAMS_30-09-2021'!D:D,1,FALSE)</f>
        <v>#N/A</v>
      </c>
      <c r="BH30" s="71"/>
      <c r="BI30" s="7"/>
    </row>
    <row r="31" spans="1:64" s="19" customFormat="1" ht="20.100000000000001" hidden="1" customHeight="1">
      <c r="A31" s="357">
        <v>30</v>
      </c>
      <c r="B31" s="13" t="s">
        <v>458</v>
      </c>
      <c r="C31" s="252" t="s">
        <v>459</v>
      </c>
      <c r="D31" s="63" t="s">
        <v>460</v>
      </c>
      <c r="E31" s="6" t="s">
        <v>461</v>
      </c>
      <c r="F31" s="6" t="s">
        <v>462</v>
      </c>
      <c r="G31" s="6"/>
      <c r="H31" s="266" t="s">
        <v>463</v>
      </c>
      <c r="I31" s="216" t="s">
        <v>139</v>
      </c>
      <c r="J31" s="216" t="s">
        <v>89</v>
      </c>
      <c r="K31" s="209" t="s">
        <v>259</v>
      </c>
      <c r="L31" s="216" t="s">
        <v>141</v>
      </c>
      <c r="M31" s="216" t="s">
        <v>68</v>
      </c>
      <c r="N31" s="6" t="s">
        <v>69</v>
      </c>
      <c r="O31" s="6"/>
      <c r="P31" s="6"/>
      <c r="Q31" s="6"/>
      <c r="R31" s="6" t="s">
        <v>70</v>
      </c>
      <c r="S31" s="150" t="s">
        <v>464</v>
      </c>
      <c r="T31" s="6" t="s">
        <v>72</v>
      </c>
      <c r="U31" s="36">
        <v>1</v>
      </c>
      <c r="V31" s="36">
        <v>12</v>
      </c>
      <c r="W31" s="36" t="s">
        <v>465</v>
      </c>
      <c r="X31" s="36" t="s">
        <v>466</v>
      </c>
      <c r="Y31" s="6" t="s">
        <v>75</v>
      </c>
      <c r="Z31" s="6" t="s">
        <v>76</v>
      </c>
      <c r="AA31" s="6" t="s">
        <v>75</v>
      </c>
      <c r="AB31" s="6" t="s">
        <v>76</v>
      </c>
      <c r="AC31" s="6" t="s">
        <v>75</v>
      </c>
      <c r="AD31" s="6" t="str">
        <f>_xlfn.TEXTJOIN("/",TRUE,IF(OfertaPlazas[[#This Row],[GITST]]="SI","GITST",""),IF(OfertaPlazas[[#This Row],[GIB]]="SI","GIB",""),IF(OfertaPlazas[[#This Row],[GISD]]="SI","GISD",""),IF(OfertaPlazas[[#This Row],[MASTER]]="SI","MASTER",""))</f>
        <v>GIB/MASTER</v>
      </c>
      <c r="AE31" s="6" t="s">
        <v>75</v>
      </c>
      <c r="AF31" s="6" t="s">
        <v>75</v>
      </c>
      <c r="AG31" s="16" t="s">
        <v>75</v>
      </c>
      <c r="AH31" s="6" t="s">
        <v>75</v>
      </c>
      <c r="AI31" s="6" t="s">
        <v>75</v>
      </c>
      <c r="AJ31" s="6" t="s">
        <v>75</v>
      </c>
      <c r="AK31" s="6" t="s">
        <v>75</v>
      </c>
      <c r="AL31" s="6" t="s">
        <v>75</v>
      </c>
      <c r="AM31" s="6" t="s">
        <v>75</v>
      </c>
      <c r="AN31" s="6" t="s">
        <v>75</v>
      </c>
      <c r="AO31" s="6" t="s">
        <v>75</v>
      </c>
      <c r="AP31" s="6" t="s">
        <v>75</v>
      </c>
      <c r="AQ31" s="6" t="s">
        <v>75</v>
      </c>
      <c r="AR31" s="6" t="s">
        <v>76</v>
      </c>
      <c r="AS31" s="185" t="s">
        <v>234</v>
      </c>
      <c r="AT31" s="301"/>
      <c r="AU31" s="259" t="s">
        <v>467</v>
      </c>
      <c r="AV31" s="13" t="s">
        <v>468</v>
      </c>
      <c r="AW31" s="13"/>
      <c r="AX31" s="13"/>
      <c r="AY31" s="91" t="s">
        <v>81</v>
      </c>
      <c r="AZ31" s="91" t="s">
        <v>469</v>
      </c>
      <c r="BA31" s="91" t="s">
        <v>470</v>
      </c>
      <c r="BB31" s="91" t="s">
        <v>471</v>
      </c>
      <c r="BC31" s="91" t="s">
        <v>131</v>
      </c>
      <c r="BD31" s="91"/>
      <c r="BE31" s="319" t="e">
        <f>VLOOKUP(B31,'TEAMS_30-09-2021'!$D:$AG,30,FALSE)</f>
        <v>#N/A</v>
      </c>
      <c r="BF31" s="319" t="e">
        <f>VLOOKUP(B31,'ENCUESTAS JUN-2021'!I:I,1,FALSE)</f>
        <v>#N/A</v>
      </c>
      <c r="BG31" s="63" t="e">
        <f>VLOOKUP(B31,'TEAMS_30-09-2021'!D:D,1,FALSE)</f>
        <v>#N/A</v>
      </c>
      <c r="BH31" s="71"/>
      <c r="BI31" s="7"/>
    </row>
    <row r="32" spans="1:64" s="19" customFormat="1" ht="20.100000000000001" hidden="1" customHeight="1">
      <c r="A32" s="357">
        <v>31</v>
      </c>
      <c r="B32" s="13" t="s">
        <v>472</v>
      </c>
      <c r="C32" s="252" t="s">
        <v>473</v>
      </c>
      <c r="D32" s="63" t="s">
        <v>474</v>
      </c>
      <c r="E32" s="6" t="s">
        <v>475</v>
      </c>
      <c r="F32" s="6" t="s">
        <v>462</v>
      </c>
      <c r="G32" s="6"/>
      <c r="H32" s="209" t="s">
        <v>476</v>
      </c>
      <c r="I32" s="216" t="s">
        <v>139</v>
      </c>
      <c r="J32" s="216" t="s">
        <v>477</v>
      </c>
      <c r="K32" s="209" t="s">
        <v>478</v>
      </c>
      <c r="L32" s="216" t="s">
        <v>141</v>
      </c>
      <c r="M32" s="216" t="s">
        <v>193</v>
      </c>
      <c r="N32" s="6" t="s">
        <v>69</v>
      </c>
      <c r="O32" s="6"/>
      <c r="P32" s="6" t="s">
        <v>70</v>
      </c>
      <c r="Q32" s="6" t="s">
        <v>70</v>
      </c>
      <c r="R32" s="6"/>
      <c r="S32" s="150" t="s">
        <v>479</v>
      </c>
      <c r="T32" s="6" t="s">
        <v>72</v>
      </c>
      <c r="U32" s="36">
        <v>2</v>
      </c>
      <c r="V32" s="36">
        <v>12</v>
      </c>
      <c r="W32" s="36" t="s">
        <v>480</v>
      </c>
      <c r="X32" s="36" t="s">
        <v>481</v>
      </c>
      <c r="Y32" s="6" t="s">
        <v>75</v>
      </c>
      <c r="Z32" s="6" t="s">
        <v>75</v>
      </c>
      <c r="AA32" s="6" t="s">
        <v>76</v>
      </c>
      <c r="AB32" s="6" t="s">
        <v>75</v>
      </c>
      <c r="AC32" s="6" t="s">
        <v>75</v>
      </c>
      <c r="AD32" s="6" t="str">
        <f>_xlfn.TEXTJOIN("/",TRUE,IF(OfertaPlazas[[#This Row],[GITST]]="SI","GITST",""),IF(OfertaPlazas[[#This Row],[GIB]]="SI","GIB",""),IF(OfertaPlazas[[#This Row],[GISD]]="SI","GISD",""),IF(OfertaPlazas[[#This Row],[MASTER]]="SI","MASTER",""))</f>
        <v>GITST/GISD/MASTER</v>
      </c>
      <c r="AE32" s="6" t="s">
        <v>75</v>
      </c>
      <c r="AF32" s="6" t="s">
        <v>75</v>
      </c>
      <c r="AG32" s="6" t="s">
        <v>75</v>
      </c>
      <c r="AH32" s="6" t="s">
        <v>75</v>
      </c>
      <c r="AI32" s="6" t="s">
        <v>75</v>
      </c>
      <c r="AJ32" s="6" t="s">
        <v>75</v>
      </c>
      <c r="AK32" s="6" t="s">
        <v>75</v>
      </c>
      <c r="AL32" s="6" t="s">
        <v>75</v>
      </c>
      <c r="AM32" s="6" t="s">
        <v>75</v>
      </c>
      <c r="AN32" s="6" t="s">
        <v>75</v>
      </c>
      <c r="AO32" s="6" t="s">
        <v>75</v>
      </c>
      <c r="AP32" s="6" t="s">
        <v>75</v>
      </c>
      <c r="AQ32" s="6" t="s">
        <v>75</v>
      </c>
      <c r="AR32" s="6" t="s">
        <v>76</v>
      </c>
      <c r="AS32" s="301" t="s">
        <v>482</v>
      </c>
      <c r="AT32" s="301" t="s">
        <v>483</v>
      </c>
      <c r="AU32" s="259" t="s">
        <v>484</v>
      </c>
      <c r="AV32" s="13"/>
      <c r="AW32" s="13"/>
      <c r="AX32" s="13"/>
      <c r="AY32" s="91" t="s">
        <v>129</v>
      </c>
      <c r="AZ32" s="91" t="s">
        <v>485</v>
      </c>
      <c r="BA32" s="91"/>
      <c r="BB32" s="91" t="s">
        <v>486</v>
      </c>
      <c r="BC32" s="91" t="s">
        <v>131</v>
      </c>
      <c r="BD32" s="91" t="s">
        <v>487</v>
      </c>
      <c r="BE32" s="319" t="e">
        <f>VLOOKUP(B32,'TEAMS_30-09-2021'!$D:$AG,30,FALSE)</f>
        <v>#N/A</v>
      </c>
      <c r="BF32" s="319" t="e">
        <f>VLOOKUP(B32,'ENCUESTAS JUN-2021'!I:I,1,FALSE)</f>
        <v>#N/A</v>
      </c>
      <c r="BG32" s="63" t="e">
        <f>VLOOKUP(B32,'TEAMS_30-09-2021'!D:D,1,FALSE)</f>
        <v>#N/A</v>
      </c>
      <c r="BH32" s="71"/>
      <c r="BI32" s="7"/>
    </row>
    <row r="33" spans="1:64" s="19" customFormat="1" ht="20.100000000000001" hidden="1" customHeight="1">
      <c r="A33" s="357">
        <v>32</v>
      </c>
      <c r="B33" s="13" t="s">
        <v>488</v>
      </c>
      <c r="C33" s="252" t="s">
        <v>489</v>
      </c>
      <c r="D33" s="63" t="s">
        <v>490</v>
      </c>
      <c r="E33" s="6" t="s">
        <v>491</v>
      </c>
      <c r="F33" s="6" t="s">
        <v>462</v>
      </c>
      <c r="G33" s="6"/>
      <c r="H33" s="209" t="s">
        <v>492</v>
      </c>
      <c r="I33" s="216" t="s">
        <v>104</v>
      </c>
      <c r="J33" s="216" t="s">
        <v>139</v>
      </c>
      <c r="K33" s="209" t="s">
        <v>493</v>
      </c>
      <c r="L33" s="216" t="s">
        <v>68</v>
      </c>
      <c r="M33" s="216" t="s">
        <v>92</v>
      </c>
      <c r="N33" s="6" t="s">
        <v>69</v>
      </c>
      <c r="O33" s="6"/>
      <c r="P33" s="6" t="s">
        <v>70</v>
      </c>
      <c r="Q33" s="6" t="s">
        <v>70</v>
      </c>
      <c r="R33" s="6"/>
      <c r="S33" s="150" t="s">
        <v>494</v>
      </c>
      <c r="T33" s="6" t="s">
        <v>72</v>
      </c>
      <c r="U33" s="36">
        <v>2</v>
      </c>
      <c r="V33" s="36">
        <v>12</v>
      </c>
      <c r="W33" s="36" t="s">
        <v>495</v>
      </c>
      <c r="X33" s="36" t="s">
        <v>125</v>
      </c>
      <c r="Y33" s="6" t="s">
        <v>75</v>
      </c>
      <c r="Z33" s="6" t="s">
        <v>75</v>
      </c>
      <c r="AA33" s="6" t="s">
        <v>76</v>
      </c>
      <c r="AB33" s="6" t="s">
        <v>75</v>
      </c>
      <c r="AC33" s="6" t="s">
        <v>75</v>
      </c>
      <c r="AD33" s="6" t="str">
        <f>_xlfn.TEXTJOIN("/",TRUE,IF(OfertaPlazas[[#This Row],[GITST]]="SI","GITST",""),IF(OfertaPlazas[[#This Row],[GIB]]="SI","GIB",""),IF(OfertaPlazas[[#This Row],[GISD]]="SI","GISD",""),IF(OfertaPlazas[[#This Row],[MASTER]]="SI","MASTER",""))</f>
        <v>GITST/GISD/MASTER</v>
      </c>
      <c r="AE33" s="16" t="s">
        <v>75</v>
      </c>
      <c r="AF33" s="16" t="s">
        <v>75</v>
      </c>
      <c r="AG33" s="16" t="s">
        <v>75</v>
      </c>
      <c r="AH33" s="16" t="s">
        <v>75</v>
      </c>
      <c r="AI33" s="16" t="s">
        <v>75</v>
      </c>
      <c r="AJ33" s="16" t="s">
        <v>76</v>
      </c>
      <c r="AK33" s="16" t="s">
        <v>75</v>
      </c>
      <c r="AL33" s="16" t="s">
        <v>75</v>
      </c>
      <c r="AM33" s="16" t="s">
        <v>75</v>
      </c>
      <c r="AN33" s="16" t="s">
        <v>75</v>
      </c>
      <c r="AO33" s="6" t="s">
        <v>75</v>
      </c>
      <c r="AP33" s="6" t="s">
        <v>75</v>
      </c>
      <c r="AQ33" s="6" t="s">
        <v>75</v>
      </c>
      <c r="AR33" s="6" t="s">
        <v>76</v>
      </c>
      <c r="AS33" s="27" t="s">
        <v>496</v>
      </c>
      <c r="AT33" s="301"/>
      <c r="AU33" s="329" t="s">
        <v>497</v>
      </c>
      <c r="AV33" s="13"/>
      <c r="AW33" s="13"/>
      <c r="AX33" s="13"/>
      <c r="AY33" s="91" t="s">
        <v>129</v>
      </c>
      <c r="AZ33" s="91" t="s">
        <v>498</v>
      </c>
      <c r="BA33" s="91"/>
      <c r="BB33" s="91" t="s">
        <v>499</v>
      </c>
      <c r="BC33" s="91" t="s">
        <v>84</v>
      </c>
      <c r="BD33" s="91" t="s">
        <v>500</v>
      </c>
      <c r="BE33" s="319" t="str">
        <f>VLOOKUP(B33,'TEAMS_30-09-2021'!$D:$AG,30,FALSE)</f>
        <v>se añade el área 610 ICTs acordado con ENSEIRB</v>
      </c>
      <c r="BF33" s="319" t="e">
        <f>VLOOKUP(B33,'ENCUESTAS JUN-2021'!I:I,1,FALSE)</f>
        <v>#N/A</v>
      </c>
      <c r="BG33" s="63" t="str">
        <f>VLOOKUP(B33,'TEAMS_30-09-2021'!D:D,1,FALSE)</f>
        <v>ENSEIRB MATMECA / IPB</v>
      </c>
      <c r="BH33" s="71"/>
      <c r="BI33" s="7"/>
    </row>
    <row r="34" spans="1:64" s="19" customFormat="1" ht="20.100000000000001" hidden="1" customHeight="1">
      <c r="A34" s="357">
        <v>33</v>
      </c>
      <c r="B34" s="13" t="s">
        <v>501</v>
      </c>
      <c r="C34" s="252" t="s">
        <v>502</v>
      </c>
      <c r="D34" s="63" t="s">
        <v>503</v>
      </c>
      <c r="E34" s="6" t="s">
        <v>504</v>
      </c>
      <c r="F34" s="6" t="s">
        <v>462</v>
      </c>
      <c r="G34" s="6"/>
      <c r="H34" s="209" t="s">
        <v>505</v>
      </c>
      <c r="I34" s="216" t="s">
        <v>139</v>
      </c>
      <c r="J34" s="216" t="s">
        <v>139</v>
      </c>
      <c r="K34" s="209" t="s">
        <v>219</v>
      </c>
      <c r="L34" s="216" t="s">
        <v>92</v>
      </c>
      <c r="M34" s="216" t="s">
        <v>92</v>
      </c>
      <c r="N34" s="6" t="s">
        <v>69</v>
      </c>
      <c r="O34" s="6"/>
      <c r="P34" s="6" t="s">
        <v>70</v>
      </c>
      <c r="Q34" s="6" t="s">
        <v>72</v>
      </c>
      <c r="R34" s="6"/>
      <c r="S34" s="150" t="s">
        <v>479</v>
      </c>
      <c r="T34" s="6" t="s">
        <v>72</v>
      </c>
      <c r="U34" s="36">
        <v>3</v>
      </c>
      <c r="V34" s="36">
        <v>12</v>
      </c>
      <c r="W34" s="36" t="s">
        <v>506</v>
      </c>
      <c r="X34" s="36" t="s">
        <v>507</v>
      </c>
      <c r="Y34" s="6" t="s">
        <v>75</v>
      </c>
      <c r="Z34" s="6" t="s">
        <v>75</v>
      </c>
      <c r="AA34" s="6" t="s">
        <v>76</v>
      </c>
      <c r="AB34" s="6" t="s">
        <v>75</v>
      </c>
      <c r="AC34" s="6" t="s">
        <v>75</v>
      </c>
      <c r="AD34" s="6" t="str">
        <f>_xlfn.TEXTJOIN("/",TRUE,IF(OfertaPlazas[[#This Row],[GITST]]="SI","GITST",""),IF(OfertaPlazas[[#This Row],[GIB]]="SI","GIB",""),IF(OfertaPlazas[[#This Row],[GISD]]="SI","GISD",""),IF(OfertaPlazas[[#This Row],[MASTER]]="SI","MASTER",""))</f>
        <v>GITST/GISD/MASTER</v>
      </c>
      <c r="AE34" s="16" t="s">
        <v>75</v>
      </c>
      <c r="AF34" s="16" t="s">
        <v>75</v>
      </c>
      <c r="AG34" s="16" t="s">
        <v>75</v>
      </c>
      <c r="AH34" s="6" t="s">
        <v>75</v>
      </c>
      <c r="AI34" s="6" t="s">
        <v>75</v>
      </c>
      <c r="AJ34" s="6" t="s">
        <v>75</v>
      </c>
      <c r="AK34" s="6" t="s">
        <v>75</v>
      </c>
      <c r="AL34" s="6" t="s">
        <v>75</v>
      </c>
      <c r="AM34" s="6" t="s">
        <v>75</v>
      </c>
      <c r="AN34" s="6" t="s">
        <v>75</v>
      </c>
      <c r="AO34" s="6" t="s">
        <v>75</v>
      </c>
      <c r="AP34" s="6" t="s">
        <v>75</v>
      </c>
      <c r="AQ34" s="6" t="s">
        <v>75</v>
      </c>
      <c r="AR34" s="6" t="s">
        <v>76</v>
      </c>
      <c r="AS34" s="27" t="s">
        <v>197</v>
      </c>
      <c r="AT34" s="301" t="s">
        <v>508</v>
      </c>
      <c r="AU34" s="13" t="s">
        <v>509</v>
      </c>
      <c r="AV34" s="13"/>
      <c r="AW34" s="13"/>
      <c r="AX34" s="13"/>
      <c r="AY34" s="91" t="s">
        <v>129</v>
      </c>
      <c r="AZ34" s="91" t="s">
        <v>510</v>
      </c>
      <c r="BA34" s="91"/>
      <c r="BB34" s="91" t="s">
        <v>511</v>
      </c>
      <c r="BC34" s="91" t="s">
        <v>84</v>
      </c>
      <c r="BD34" s="91"/>
      <c r="BE34" s="319">
        <f>VLOOKUP(B34,'TEAMS_30-09-2021'!$D:$AG,30,FALSE)</f>
        <v>0</v>
      </c>
      <c r="BF34" s="319" t="e">
        <f>VLOOKUP(B34,'ENCUESTAS JUN-2021'!I:I,1,FALSE)</f>
        <v>#N/A</v>
      </c>
      <c r="BG34" s="63" t="str">
        <f>VLOOKUP(B34,'TEAMS_30-09-2021'!D:D,1,FALSE)</f>
        <v>École Nationale d’Ingénieurs de Brest ENIB</v>
      </c>
      <c r="BH34" s="71"/>
      <c r="BI34" s="7"/>
    </row>
    <row r="35" spans="1:64" s="19" customFormat="1" ht="20.100000000000001" hidden="1" customHeight="1">
      <c r="A35" s="357">
        <v>34</v>
      </c>
      <c r="B35" s="145" t="s">
        <v>512</v>
      </c>
      <c r="C35" s="278" t="s">
        <v>513</v>
      </c>
      <c r="D35" s="221" t="s">
        <v>503</v>
      </c>
      <c r="E35" s="54" t="s">
        <v>514</v>
      </c>
      <c r="F35" s="6" t="s">
        <v>462</v>
      </c>
      <c r="G35" s="6"/>
      <c r="H35" s="209" t="s">
        <v>515</v>
      </c>
      <c r="I35" s="216" t="s">
        <v>104</v>
      </c>
      <c r="J35" s="216" t="s">
        <v>477</v>
      </c>
      <c r="K35" s="209" t="s">
        <v>516</v>
      </c>
      <c r="L35" s="216" t="s">
        <v>106</v>
      </c>
      <c r="M35" s="216" t="s">
        <v>142</v>
      </c>
      <c r="N35" s="54" t="s">
        <v>69</v>
      </c>
      <c r="O35" s="6"/>
      <c r="P35" s="6" t="s">
        <v>72</v>
      </c>
      <c r="Q35" s="6" t="s">
        <v>72</v>
      </c>
      <c r="R35" s="6" t="s">
        <v>70</v>
      </c>
      <c r="S35" s="150" t="s">
        <v>517</v>
      </c>
      <c r="T35" s="6" t="s">
        <v>72</v>
      </c>
      <c r="U35" s="36">
        <v>4</v>
      </c>
      <c r="V35" s="36">
        <v>6</v>
      </c>
      <c r="W35" s="36" t="s">
        <v>518</v>
      </c>
      <c r="X35" s="36" t="s">
        <v>519</v>
      </c>
      <c r="Y35" s="6" t="s">
        <v>75</v>
      </c>
      <c r="Z35" s="6" t="s">
        <v>75</v>
      </c>
      <c r="AA35" s="6" t="s">
        <v>75</v>
      </c>
      <c r="AB35" s="6" t="s">
        <v>75</v>
      </c>
      <c r="AC35" s="6" t="s">
        <v>75</v>
      </c>
      <c r="AD35" s="6" t="str">
        <f>_xlfn.TEXTJOIN("/",TRUE,IF(OfertaPlazas[[#This Row],[GITST]]="SI","GITST",""),IF(OfertaPlazas[[#This Row],[GIB]]="SI","GIB",""),IF(OfertaPlazas[[#This Row],[GISD]]="SI","GISD",""),IF(OfertaPlazas[[#This Row],[MASTER]]="SI","MASTER",""))</f>
        <v>GITST/GIB/GISD/MASTER</v>
      </c>
      <c r="AE35" s="6" t="s">
        <v>75</v>
      </c>
      <c r="AF35" s="6" t="s">
        <v>75</v>
      </c>
      <c r="AG35" s="6" t="s">
        <v>75</v>
      </c>
      <c r="AH35" s="6" t="s">
        <v>75</v>
      </c>
      <c r="AI35" s="6" t="s">
        <v>75</v>
      </c>
      <c r="AJ35" s="6" t="s">
        <v>75</v>
      </c>
      <c r="AK35" s="6" t="s">
        <v>75</v>
      </c>
      <c r="AL35" s="6" t="s">
        <v>75</v>
      </c>
      <c r="AM35" s="6" t="s">
        <v>75</v>
      </c>
      <c r="AN35" s="6" t="s">
        <v>75</v>
      </c>
      <c r="AO35" s="6" t="s">
        <v>75</v>
      </c>
      <c r="AP35" s="6" t="s">
        <v>75</v>
      </c>
      <c r="AQ35" s="6" t="s">
        <v>75</v>
      </c>
      <c r="AR35" s="6" t="s">
        <v>76</v>
      </c>
      <c r="AS35" s="27" t="s">
        <v>520</v>
      </c>
      <c r="AT35" s="301" t="s">
        <v>521</v>
      </c>
      <c r="AU35" s="13" t="s">
        <v>522</v>
      </c>
      <c r="AV35" s="13" t="s">
        <v>523</v>
      </c>
      <c r="AW35" s="13"/>
      <c r="AX35" s="13"/>
      <c r="AY35" s="91"/>
      <c r="AZ35" s="91"/>
      <c r="BA35" s="91"/>
      <c r="BB35" s="91" t="s">
        <v>524</v>
      </c>
      <c r="BC35" s="91"/>
      <c r="BD35" s="91"/>
      <c r="BE35" s="319"/>
      <c r="BF35" s="319"/>
      <c r="BG35" s="63"/>
      <c r="BH35" s="71"/>
      <c r="BI35" s="7"/>
    </row>
    <row r="36" spans="1:64" s="19" customFormat="1" ht="20.100000000000001" hidden="1" customHeight="1">
      <c r="A36" s="357">
        <v>35</v>
      </c>
      <c r="B36" s="13" t="s">
        <v>525</v>
      </c>
      <c r="C36" s="252" t="s">
        <v>526</v>
      </c>
      <c r="D36" s="63" t="s">
        <v>527</v>
      </c>
      <c r="E36" s="6" t="s">
        <v>528</v>
      </c>
      <c r="F36" s="6" t="s">
        <v>462</v>
      </c>
      <c r="G36" s="6"/>
      <c r="H36" s="209" t="s">
        <v>529</v>
      </c>
      <c r="I36" s="216" t="s">
        <v>169</v>
      </c>
      <c r="J36" s="216" t="s">
        <v>530</v>
      </c>
      <c r="K36" s="209" t="s">
        <v>531</v>
      </c>
      <c r="L36" s="216" t="s">
        <v>141</v>
      </c>
      <c r="M36" s="216" t="s">
        <v>300</v>
      </c>
      <c r="N36" s="6" t="s">
        <v>69</v>
      </c>
      <c r="O36" s="6"/>
      <c r="P36" s="6" t="s">
        <v>70</v>
      </c>
      <c r="Q36" s="6" t="s">
        <v>72</v>
      </c>
      <c r="R36" s="6" t="s">
        <v>70</v>
      </c>
      <c r="S36" s="150" t="s">
        <v>517</v>
      </c>
      <c r="T36" s="6" t="s">
        <v>72</v>
      </c>
      <c r="U36" s="36">
        <v>2</v>
      </c>
      <c r="V36" s="36">
        <v>12</v>
      </c>
      <c r="W36" s="332" t="s">
        <v>532</v>
      </c>
      <c r="X36" s="36"/>
      <c r="Y36" s="6" t="s">
        <v>75</v>
      </c>
      <c r="Z36" s="6" t="s">
        <v>75</v>
      </c>
      <c r="AA36" s="6" t="s">
        <v>76</v>
      </c>
      <c r="AB36" s="6" t="s">
        <v>75</v>
      </c>
      <c r="AC36" s="6" t="s">
        <v>75</v>
      </c>
      <c r="AD36" s="6" t="str">
        <f>_xlfn.TEXTJOIN("/",TRUE,IF(OfertaPlazas[[#This Row],[GITST]]="SI","GITST",""),IF(OfertaPlazas[[#This Row],[GIB]]="SI","GIB",""),IF(OfertaPlazas[[#This Row],[GISD]]="SI","GISD",""),IF(OfertaPlazas[[#This Row],[MASTER]]="SI","MASTER",""))</f>
        <v>GITST/GISD/MASTER</v>
      </c>
      <c r="AE36" s="16" t="s">
        <v>75</v>
      </c>
      <c r="AF36" s="16" t="s">
        <v>75</v>
      </c>
      <c r="AG36" s="16" t="s">
        <v>75</v>
      </c>
      <c r="AH36" s="16" t="s">
        <v>75</v>
      </c>
      <c r="AI36" s="16" t="s">
        <v>75</v>
      </c>
      <c r="AJ36" s="16" t="s">
        <v>75</v>
      </c>
      <c r="AK36" s="16" t="s">
        <v>75</v>
      </c>
      <c r="AL36" s="16" t="s">
        <v>75</v>
      </c>
      <c r="AM36" s="16" t="s">
        <v>75</v>
      </c>
      <c r="AN36" s="16" t="s">
        <v>75</v>
      </c>
      <c r="AO36" s="6" t="s">
        <v>75</v>
      </c>
      <c r="AP36" s="6" t="s">
        <v>75</v>
      </c>
      <c r="AQ36" s="6" t="s">
        <v>75</v>
      </c>
      <c r="AR36" s="6" t="s">
        <v>75</v>
      </c>
      <c r="AS36" s="185" t="s">
        <v>185</v>
      </c>
      <c r="AT36" s="301"/>
      <c r="AU36" s="13" t="s">
        <v>533</v>
      </c>
      <c r="AV36" s="13" t="s">
        <v>534</v>
      </c>
      <c r="AW36" s="13"/>
      <c r="AX36" s="13"/>
      <c r="AY36" s="91" t="s">
        <v>129</v>
      </c>
      <c r="AZ36" s="91" t="s">
        <v>535</v>
      </c>
      <c r="BA36" s="91"/>
      <c r="BB36" s="91" t="s">
        <v>536</v>
      </c>
      <c r="BC36" s="91" t="s">
        <v>84</v>
      </c>
      <c r="BD36" s="91" t="s">
        <v>537</v>
      </c>
      <c r="BE36" s="319" t="str">
        <f>VLOOKUP(B36,'TEAMS_30-09-2021'!$D:$AG,30,FALSE)</f>
        <v>se añade el área de bio acordado con ENSICAEN</v>
      </c>
      <c r="BF36" s="320" t="str">
        <f>VLOOKUP(B36,'ENCUESTAS JUN-2021'!I:I,1,FALSE)</f>
        <v>École Nationale Supérieure d'Ingénieurs de Caen ENSICAEN</v>
      </c>
      <c r="BG36" s="63" t="str">
        <f>VLOOKUP(B36,'TEAMS_30-09-2021'!D:D,1,FALSE)</f>
        <v>École Nationale Supérieure d'Ingénieurs de Caen ENSICAEN</v>
      </c>
      <c r="BH36" s="71"/>
      <c r="BI36" s="7"/>
    </row>
    <row r="37" spans="1:64" s="70" customFormat="1" ht="20.100000000000001" hidden="1" customHeight="1">
      <c r="A37" s="357">
        <v>36</v>
      </c>
      <c r="B37" s="13" t="s">
        <v>538</v>
      </c>
      <c r="C37" s="252" t="s">
        <v>539</v>
      </c>
      <c r="D37" s="63" t="s">
        <v>540</v>
      </c>
      <c r="E37" s="54" t="s">
        <v>541</v>
      </c>
      <c r="F37" s="6" t="s">
        <v>462</v>
      </c>
      <c r="G37" s="36" t="s">
        <v>336</v>
      </c>
      <c r="H37" s="209" t="s">
        <v>542</v>
      </c>
      <c r="I37" s="216" t="s">
        <v>104</v>
      </c>
      <c r="J37" s="216" t="s">
        <v>139</v>
      </c>
      <c r="K37" s="209" t="s">
        <v>91</v>
      </c>
      <c r="L37" s="216" t="s">
        <v>68</v>
      </c>
      <c r="M37" s="216" t="s">
        <v>92</v>
      </c>
      <c r="N37" s="6" t="s">
        <v>69</v>
      </c>
      <c r="O37" s="6"/>
      <c r="P37" s="6" t="s">
        <v>70</v>
      </c>
      <c r="Q37" s="6" t="s">
        <v>72</v>
      </c>
      <c r="R37" s="6"/>
      <c r="S37" s="150" t="s">
        <v>231</v>
      </c>
      <c r="T37" s="6" t="s">
        <v>72</v>
      </c>
      <c r="U37" s="36">
        <v>3</v>
      </c>
      <c r="V37" s="36">
        <v>10</v>
      </c>
      <c r="W37" s="337" t="s">
        <v>543</v>
      </c>
      <c r="X37" s="36" t="s">
        <v>544</v>
      </c>
      <c r="Y37" s="6" t="s">
        <v>75</v>
      </c>
      <c r="Z37" s="6" t="s">
        <v>75</v>
      </c>
      <c r="AA37" s="6" t="s">
        <v>76</v>
      </c>
      <c r="AB37" s="6" t="s">
        <v>75</v>
      </c>
      <c r="AC37" s="6" t="s">
        <v>75</v>
      </c>
      <c r="AD37" s="6" t="str">
        <f>_xlfn.TEXTJOIN("/",TRUE,IF(OfertaPlazas[[#This Row],[GITST]]="SI","GITST",""),IF(OfertaPlazas[[#This Row],[GIB]]="SI","GIB",""),IF(OfertaPlazas[[#This Row],[GISD]]="SI","GISD",""),IF(OfertaPlazas[[#This Row],[MASTER]]="SI","MASTER",""))</f>
        <v>GITST/GISD/MASTER</v>
      </c>
      <c r="AE37" s="6" t="s">
        <v>75</v>
      </c>
      <c r="AF37" s="6" t="s">
        <v>75</v>
      </c>
      <c r="AG37" s="6" t="s">
        <v>75</v>
      </c>
      <c r="AH37" s="6" t="s">
        <v>75</v>
      </c>
      <c r="AI37" s="6" t="s">
        <v>75</v>
      </c>
      <c r="AJ37" s="6" t="s">
        <v>75</v>
      </c>
      <c r="AK37" s="6" t="s">
        <v>75</v>
      </c>
      <c r="AL37" s="6" t="s">
        <v>75</v>
      </c>
      <c r="AM37" s="6" t="s">
        <v>75</v>
      </c>
      <c r="AN37" s="6" t="s">
        <v>75</v>
      </c>
      <c r="AO37" s="6" t="s">
        <v>75</v>
      </c>
      <c r="AP37" s="6" t="s">
        <v>75</v>
      </c>
      <c r="AQ37" s="6" t="s">
        <v>75</v>
      </c>
      <c r="AR37" s="6" t="s">
        <v>75</v>
      </c>
      <c r="AS37" s="27" t="s">
        <v>211</v>
      </c>
      <c r="AT37" s="301" t="s">
        <v>545</v>
      </c>
      <c r="AU37" s="362" t="s">
        <v>546</v>
      </c>
      <c r="AV37" s="13" t="s">
        <v>547</v>
      </c>
      <c r="AW37" s="13"/>
      <c r="AX37" s="13"/>
      <c r="AY37" s="91"/>
      <c r="AZ37" s="91"/>
      <c r="BA37" s="91"/>
      <c r="BB37" s="91"/>
      <c r="BC37" s="91"/>
      <c r="BD37" s="91"/>
      <c r="BE37" s="319"/>
      <c r="BF37" s="320"/>
      <c r="BG37" s="63"/>
      <c r="BH37" s="71"/>
      <c r="BI37" s="7"/>
    </row>
    <row r="38" spans="1:64" s="70" customFormat="1" ht="20.100000000000001" hidden="1" customHeight="1">
      <c r="A38" s="357">
        <v>37</v>
      </c>
      <c r="B38" s="13" t="s">
        <v>548</v>
      </c>
      <c r="C38" s="252" t="s">
        <v>549</v>
      </c>
      <c r="D38" s="63" t="s">
        <v>550</v>
      </c>
      <c r="E38" s="6" t="s">
        <v>551</v>
      </c>
      <c r="F38" s="6" t="s">
        <v>462</v>
      </c>
      <c r="G38" s="54"/>
      <c r="H38" s="209" t="s">
        <v>552</v>
      </c>
      <c r="I38" s="216" t="s">
        <v>89</v>
      </c>
      <c r="J38" s="216" t="s">
        <v>90</v>
      </c>
      <c r="K38" s="209" t="s">
        <v>478</v>
      </c>
      <c r="L38" s="216" t="s">
        <v>141</v>
      </c>
      <c r="M38" s="216" t="s">
        <v>193</v>
      </c>
      <c r="N38" s="6" t="s">
        <v>69</v>
      </c>
      <c r="O38" s="6"/>
      <c r="P38" s="6" t="s">
        <v>70</v>
      </c>
      <c r="Q38" s="6"/>
      <c r="R38" s="6" t="s">
        <v>70</v>
      </c>
      <c r="S38" s="150" t="s">
        <v>123</v>
      </c>
      <c r="T38" s="6" t="s">
        <v>72</v>
      </c>
      <c r="U38" s="36">
        <v>4</v>
      </c>
      <c r="V38" s="36">
        <v>12</v>
      </c>
      <c r="W38" s="332" t="s">
        <v>553</v>
      </c>
      <c r="X38" s="36" t="s">
        <v>554</v>
      </c>
      <c r="Y38" s="6" t="s">
        <v>75</v>
      </c>
      <c r="Z38" s="6" t="s">
        <v>75</v>
      </c>
      <c r="AA38" s="6" t="s">
        <v>75</v>
      </c>
      <c r="AB38" s="6" t="s">
        <v>76</v>
      </c>
      <c r="AC38" s="6" t="s">
        <v>75</v>
      </c>
      <c r="AD38" s="6" t="str">
        <f>_xlfn.TEXTJOIN("/",TRUE,IF(OfertaPlazas[[#This Row],[GITST]]="SI","GITST",""),IF(OfertaPlazas[[#This Row],[GIB]]="SI","GIB",""),IF(OfertaPlazas[[#This Row],[GISD]]="SI","GISD",""),IF(OfertaPlazas[[#This Row],[MASTER]]="SI","MASTER",""))</f>
        <v>GITST/GIB/MASTER</v>
      </c>
      <c r="AE38" s="16" t="s">
        <v>75</v>
      </c>
      <c r="AF38" s="16" t="s">
        <v>75</v>
      </c>
      <c r="AG38" s="16" t="s">
        <v>75</v>
      </c>
      <c r="AH38" s="16" t="s">
        <v>75</v>
      </c>
      <c r="AI38" s="16" t="s">
        <v>75</v>
      </c>
      <c r="AJ38" s="16" t="s">
        <v>76</v>
      </c>
      <c r="AK38" s="16" t="s">
        <v>76</v>
      </c>
      <c r="AL38" s="16" t="s">
        <v>75</v>
      </c>
      <c r="AM38" s="16" t="s">
        <v>75</v>
      </c>
      <c r="AN38" s="16" t="s">
        <v>75</v>
      </c>
      <c r="AO38" s="6" t="s">
        <v>75</v>
      </c>
      <c r="AP38" s="6" t="s">
        <v>75</v>
      </c>
      <c r="AQ38" s="6" t="s">
        <v>75</v>
      </c>
      <c r="AR38" s="6" t="s">
        <v>75</v>
      </c>
      <c r="AS38" s="185" t="s">
        <v>185</v>
      </c>
      <c r="AT38" s="301"/>
      <c r="AU38" s="360" t="s">
        <v>555</v>
      </c>
      <c r="AV38" s="13" t="s">
        <v>556</v>
      </c>
      <c r="AW38" s="13"/>
      <c r="AX38" s="13"/>
      <c r="AY38" s="91" t="s">
        <v>129</v>
      </c>
      <c r="AZ38" s="91" t="s">
        <v>557</v>
      </c>
      <c r="BA38" s="91"/>
      <c r="BB38" s="91" t="s">
        <v>558</v>
      </c>
      <c r="BC38" s="91" t="s">
        <v>84</v>
      </c>
      <c r="BD38" s="91" t="s">
        <v>559</v>
      </c>
      <c r="BE38" s="319">
        <f>VLOOKUP(B38,'TEAMS_30-09-2021'!$D:$AG,30,FALSE)</f>
        <v>0</v>
      </c>
      <c r="BF38" s="320" t="str">
        <f>VLOOKUP(B38,'ENCUESTAS JUN-2021'!I:I,1,FALSE)</f>
        <v>Ecole Nationale Supérieure de l'Electronique et de ses Applications (ENSEA)</v>
      </c>
      <c r="BG38" s="63" t="str">
        <f>VLOOKUP(B38,'TEAMS_30-09-2021'!D:D,1,FALSE)</f>
        <v>Ecole Nationale Supérieure de l'Electronique et de ses Applications (ENSEA)</v>
      </c>
      <c r="BH38" s="71"/>
      <c r="BI38" s="7"/>
    </row>
    <row r="39" spans="1:64" s="19" customFormat="1" ht="20.100000000000001" hidden="1" customHeight="1">
      <c r="A39" s="357">
        <v>38</v>
      </c>
      <c r="B39" s="13" t="s">
        <v>560</v>
      </c>
      <c r="C39" s="252" t="s">
        <v>561</v>
      </c>
      <c r="D39" s="63" t="s">
        <v>562</v>
      </c>
      <c r="E39" s="6" t="s">
        <v>563</v>
      </c>
      <c r="F39" s="6" t="s">
        <v>462</v>
      </c>
      <c r="G39" s="6"/>
      <c r="H39" s="266" t="s">
        <v>564</v>
      </c>
      <c r="I39" s="216" t="s">
        <v>103</v>
      </c>
      <c r="J39" s="216" t="s">
        <v>104</v>
      </c>
      <c r="K39" s="274" t="s">
        <v>259</v>
      </c>
      <c r="L39" s="216" t="s">
        <v>141</v>
      </c>
      <c r="M39" s="216" t="s">
        <v>68</v>
      </c>
      <c r="N39" s="6" t="s">
        <v>69</v>
      </c>
      <c r="O39" s="6" t="s">
        <v>72</v>
      </c>
      <c r="P39" s="6" t="s">
        <v>70</v>
      </c>
      <c r="Q39" s="6" t="s">
        <v>70</v>
      </c>
      <c r="R39" s="6"/>
      <c r="S39" s="150" t="s">
        <v>565</v>
      </c>
      <c r="T39" s="6" t="s">
        <v>72</v>
      </c>
      <c r="U39" s="36">
        <v>2</v>
      </c>
      <c r="V39" s="36">
        <v>12</v>
      </c>
      <c r="W39" s="36" t="s">
        <v>566</v>
      </c>
      <c r="X39" s="36" t="s">
        <v>567</v>
      </c>
      <c r="Y39" s="6" t="s">
        <v>75</v>
      </c>
      <c r="Z39" s="6" t="s">
        <v>75</v>
      </c>
      <c r="AA39" s="6" t="s">
        <v>76</v>
      </c>
      <c r="AB39" s="6" t="s">
        <v>75</v>
      </c>
      <c r="AC39" s="6" t="s">
        <v>75</v>
      </c>
      <c r="AD39" s="6" t="str">
        <f>_xlfn.TEXTJOIN("/",TRUE,IF(OfertaPlazas[[#This Row],[GITST]]="SI","GITST",""),IF(OfertaPlazas[[#This Row],[GIB]]="SI","GIB",""),IF(OfertaPlazas[[#This Row],[GISD]]="SI","GISD",""),IF(OfertaPlazas[[#This Row],[MASTER]]="SI","MASTER",""))</f>
        <v>GITST/GISD/MASTER</v>
      </c>
      <c r="AE39" s="16" t="s">
        <v>75</v>
      </c>
      <c r="AF39" s="16" t="s">
        <v>75</v>
      </c>
      <c r="AG39" s="16" t="s">
        <v>75</v>
      </c>
      <c r="AH39" s="16" t="s">
        <v>75</v>
      </c>
      <c r="AI39" s="16" t="s">
        <v>75</v>
      </c>
      <c r="AJ39" s="16" t="s">
        <v>76</v>
      </c>
      <c r="AK39" s="16" t="s">
        <v>75</v>
      </c>
      <c r="AL39" s="16" t="s">
        <v>75</v>
      </c>
      <c r="AM39" s="16" t="s">
        <v>76</v>
      </c>
      <c r="AN39" s="16" t="s">
        <v>76</v>
      </c>
      <c r="AO39" s="6" t="s">
        <v>75</v>
      </c>
      <c r="AP39" s="6" t="s">
        <v>75</v>
      </c>
      <c r="AQ39" s="6" t="s">
        <v>75</v>
      </c>
      <c r="AR39" s="6" t="s">
        <v>76</v>
      </c>
      <c r="AS39" s="27" t="s">
        <v>248</v>
      </c>
      <c r="AT39" s="301" t="s">
        <v>568</v>
      </c>
      <c r="AU39" s="259" t="s">
        <v>569</v>
      </c>
      <c r="AV39" s="13"/>
      <c r="AW39" s="13"/>
      <c r="AX39" s="13"/>
      <c r="AY39" s="91" t="s">
        <v>129</v>
      </c>
      <c r="AZ39" s="91" t="s">
        <v>570</v>
      </c>
      <c r="BA39" s="91"/>
      <c r="BB39" s="91" t="s">
        <v>571</v>
      </c>
      <c r="BC39" s="91" t="s">
        <v>84</v>
      </c>
      <c r="BD39" s="91" t="s">
        <v>572</v>
      </c>
      <c r="BE39" s="319">
        <f>VLOOKUP(B39,'TEAMS_30-09-2021'!$D:$AG,30,FALSE)</f>
        <v>0</v>
      </c>
      <c r="BF39" s="320" t="str">
        <f>VLOOKUP(B39,'ENCUESTAS JUN-2021'!I:I,1,FALSE)</f>
        <v>Telecom Sud Paris</v>
      </c>
      <c r="BG39" s="63" t="str">
        <f>VLOOKUP(B39,'TEAMS_30-09-2021'!D:D,1,FALSE)</f>
        <v>Telecom Sud Paris</v>
      </c>
      <c r="BH39" s="71"/>
      <c r="BI39" s="7"/>
    </row>
    <row r="40" spans="1:64" s="19" customFormat="1" ht="20.100000000000001" hidden="1" customHeight="1">
      <c r="A40" s="357">
        <v>39</v>
      </c>
      <c r="B40" s="13" t="s">
        <v>573</v>
      </c>
      <c r="C40" s="252" t="s">
        <v>574</v>
      </c>
      <c r="D40" s="63" t="s">
        <v>575</v>
      </c>
      <c r="E40" s="6" t="s">
        <v>576</v>
      </c>
      <c r="F40" s="6" t="s">
        <v>462</v>
      </c>
      <c r="G40" s="36" t="s">
        <v>577</v>
      </c>
      <c r="H40" s="266" t="s">
        <v>578</v>
      </c>
      <c r="I40" s="216" t="s">
        <v>579</v>
      </c>
      <c r="J40" s="216" t="s">
        <v>580</v>
      </c>
      <c r="K40" s="209" t="s">
        <v>581</v>
      </c>
      <c r="L40" s="216" t="s">
        <v>443</v>
      </c>
      <c r="M40" s="216" t="s">
        <v>582</v>
      </c>
      <c r="N40" s="6" t="s">
        <v>69</v>
      </c>
      <c r="O40" s="6"/>
      <c r="P40" s="6" t="s">
        <v>70</v>
      </c>
      <c r="Q40" s="6"/>
      <c r="R40" s="6" t="s">
        <v>70</v>
      </c>
      <c r="S40" s="150" t="s">
        <v>123</v>
      </c>
      <c r="T40" s="6" t="s">
        <v>72</v>
      </c>
      <c r="U40" s="36">
        <v>6</v>
      </c>
      <c r="V40" s="36">
        <v>10</v>
      </c>
      <c r="W40" s="36" t="s">
        <v>583</v>
      </c>
      <c r="X40" s="36" t="s">
        <v>584</v>
      </c>
      <c r="Y40" s="6" t="s">
        <v>75</v>
      </c>
      <c r="Z40" s="6" t="s">
        <v>75</v>
      </c>
      <c r="AA40" s="54" t="s">
        <v>75</v>
      </c>
      <c r="AB40" s="6" t="s">
        <v>76</v>
      </c>
      <c r="AC40" s="6" t="s">
        <v>75</v>
      </c>
      <c r="AD40" s="6" t="str">
        <f>_xlfn.TEXTJOIN("/",TRUE,IF(OfertaPlazas[[#This Row],[GITST]]="SI","GITST",""),IF(OfertaPlazas[[#This Row],[GIB]]="SI","GIB",""),IF(OfertaPlazas[[#This Row],[GISD]]="SI","GISD",""),IF(OfertaPlazas[[#This Row],[MASTER]]="SI","MASTER",""))</f>
        <v>GITST/GIB/MASTER</v>
      </c>
      <c r="AE40" s="16" t="s">
        <v>75</v>
      </c>
      <c r="AF40" s="16" t="s">
        <v>75</v>
      </c>
      <c r="AG40" s="16" t="s">
        <v>75</v>
      </c>
      <c r="AH40" s="16" t="s">
        <v>75</v>
      </c>
      <c r="AI40" s="16" t="s">
        <v>75</v>
      </c>
      <c r="AJ40" s="16" t="s">
        <v>75</v>
      </c>
      <c r="AK40" s="16" t="s">
        <v>75</v>
      </c>
      <c r="AL40" s="16" t="s">
        <v>75</v>
      </c>
      <c r="AM40" s="16" t="s">
        <v>75</v>
      </c>
      <c r="AN40" s="16" t="s">
        <v>75</v>
      </c>
      <c r="AO40" s="6" t="s">
        <v>75</v>
      </c>
      <c r="AP40" s="6" t="s">
        <v>75</v>
      </c>
      <c r="AQ40" s="6" t="s">
        <v>75</v>
      </c>
      <c r="AR40" s="6" t="s">
        <v>75</v>
      </c>
      <c r="AS40" s="27" t="s">
        <v>185</v>
      </c>
      <c r="AT40" s="301"/>
      <c r="AU40" s="13" t="s">
        <v>585</v>
      </c>
      <c r="AV40" s="27"/>
      <c r="AW40" s="13"/>
      <c r="AX40" s="13"/>
      <c r="AY40" s="91" t="s">
        <v>129</v>
      </c>
      <c r="AZ40" s="91" t="s">
        <v>570</v>
      </c>
      <c r="BA40" s="91"/>
      <c r="BB40" s="91" t="s">
        <v>586</v>
      </c>
      <c r="BC40" s="91" t="s">
        <v>84</v>
      </c>
      <c r="BD40" s="91" t="s">
        <v>587</v>
      </c>
      <c r="BE40" s="319">
        <f>VLOOKUP(B40,'TEAMS_30-09-2021'!$D:$AG,30,FALSE)</f>
        <v>0</v>
      </c>
      <c r="BF40" s="320" t="str">
        <f>VLOOKUP(B40,'ENCUESTAS JUN-2021'!I:I,1,FALSE)</f>
        <v>Centrale SUPELEC</v>
      </c>
      <c r="BG40" s="63" t="str">
        <f>VLOOKUP(B40,'TEAMS_30-09-2021'!D:D,1,FALSE)</f>
        <v>Centrale SUPELEC</v>
      </c>
      <c r="BH40" s="71"/>
      <c r="BI40" s="7"/>
    </row>
    <row r="41" spans="1:64" s="19" customFormat="1" ht="20.100000000000001" hidden="1" customHeight="1">
      <c r="A41" s="357">
        <v>40</v>
      </c>
      <c r="B41" s="13" t="s">
        <v>588</v>
      </c>
      <c r="C41" s="252" t="s">
        <v>589</v>
      </c>
      <c r="D41" s="63" t="s">
        <v>590</v>
      </c>
      <c r="E41" s="54" t="s">
        <v>591</v>
      </c>
      <c r="F41" s="6" t="s">
        <v>462</v>
      </c>
      <c r="G41" s="6"/>
      <c r="H41" s="209" t="s">
        <v>244</v>
      </c>
      <c r="I41" s="216" t="s">
        <v>153</v>
      </c>
      <c r="J41" s="216" t="s">
        <v>153</v>
      </c>
      <c r="K41" s="209"/>
      <c r="L41" s="216" t="s">
        <v>153</v>
      </c>
      <c r="M41" s="216"/>
      <c r="N41" s="6" t="s">
        <v>69</v>
      </c>
      <c r="O41" s="6"/>
      <c r="P41" s="6" t="s">
        <v>70</v>
      </c>
      <c r="Q41" s="6"/>
      <c r="R41" s="6"/>
      <c r="S41" s="150" t="s">
        <v>194</v>
      </c>
      <c r="T41" s="6" t="s">
        <v>72</v>
      </c>
      <c r="U41" s="36">
        <v>2</v>
      </c>
      <c r="V41" s="36">
        <v>12</v>
      </c>
      <c r="W41" s="36" t="s">
        <v>592</v>
      </c>
      <c r="X41" s="36" t="s">
        <v>593</v>
      </c>
      <c r="Y41" s="6" t="s">
        <v>75</v>
      </c>
      <c r="Z41" s="6" t="s">
        <v>75</v>
      </c>
      <c r="AA41" s="6" t="s">
        <v>76</v>
      </c>
      <c r="AB41" s="6" t="s">
        <v>76</v>
      </c>
      <c r="AC41" s="6" t="s">
        <v>75</v>
      </c>
      <c r="AD41" s="6" t="str">
        <f>_xlfn.TEXTJOIN("/",TRUE,IF(OfertaPlazas[[#This Row],[GITST]]="SI","GITST",""),IF(OfertaPlazas[[#This Row],[GIB]]="SI","GIB",""),IF(OfertaPlazas[[#This Row],[GISD]]="SI","GISD",""),IF(OfertaPlazas[[#This Row],[MASTER]]="SI","MASTER",""))</f>
        <v>GITST/MASTER</v>
      </c>
      <c r="AE41" s="16" t="s">
        <v>75</v>
      </c>
      <c r="AF41" s="16" t="s">
        <v>75</v>
      </c>
      <c r="AG41" s="16" t="s">
        <v>75</v>
      </c>
      <c r="AH41" s="16" t="s">
        <v>75</v>
      </c>
      <c r="AI41" s="16" t="s">
        <v>75</v>
      </c>
      <c r="AJ41" s="16" t="s">
        <v>76</v>
      </c>
      <c r="AK41" s="16" t="s">
        <v>76</v>
      </c>
      <c r="AL41" s="16" t="s">
        <v>75</v>
      </c>
      <c r="AM41" s="16" t="s">
        <v>76</v>
      </c>
      <c r="AN41" s="16" t="s">
        <v>76</v>
      </c>
      <c r="AO41" s="6" t="s">
        <v>75</v>
      </c>
      <c r="AP41" s="6" t="s">
        <v>75</v>
      </c>
      <c r="AQ41" s="6" t="s">
        <v>75</v>
      </c>
      <c r="AR41" s="6" t="s">
        <v>76</v>
      </c>
      <c r="AS41" s="27" t="s">
        <v>482</v>
      </c>
      <c r="AT41" s="301"/>
      <c r="AU41" s="13" t="s">
        <v>594</v>
      </c>
      <c r="AV41" s="13"/>
      <c r="AW41" s="13" t="s">
        <v>595</v>
      </c>
      <c r="AX41" s="13"/>
      <c r="AY41" s="91" t="s">
        <v>129</v>
      </c>
      <c r="AZ41" s="91" t="s">
        <v>570</v>
      </c>
      <c r="BA41" s="91"/>
      <c r="BB41" s="91" t="s">
        <v>596</v>
      </c>
      <c r="BC41" s="91" t="s">
        <v>84</v>
      </c>
      <c r="BD41" s="91" t="s">
        <v>597</v>
      </c>
      <c r="BE41" s="319">
        <f>VLOOKUP(B41,'TEAMS_30-09-2021'!$D:$AG,30,FALSE)</f>
        <v>0</v>
      </c>
      <c r="BF41" s="319" t="e">
        <f>VLOOKUP(B41,'ENCUESTAS JUN-2021'!I:I,1,FALSE)</f>
        <v>#N/A</v>
      </c>
      <c r="BG41" s="63" t="str">
        <f>VLOOKUP(B41,'TEAMS_30-09-2021'!D:D,1,FALSE)</f>
        <v>INP Grenoble, Institute of Engineering and Management</v>
      </c>
      <c r="BH41" s="13"/>
    </row>
    <row r="42" spans="1:64" s="19" customFormat="1" ht="20.100000000000001" hidden="1" customHeight="1">
      <c r="A42" s="357">
        <v>41</v>
      </c>
      <c r="B42" s="13" t="s">
        <v>598</v>
      </c>
      <c r="C42" s="252" t="s">
        <v>599</v>
      </c>
      <c r="D42" s="63" t="s">
        <v>590</v>
      </c>
      <c r="E42" s="54" t="s">
        <v>600</v>
      </c>
      <c r="F42" s="6" t="s">
        <v>462</v>
      </c>
      <c r="G42" s="6"/>
      <c r="H42" s="209" t="s">
        <v>601</v>
      </c>
      <c r="I42" s="216" t="s">
        <v>169</v>
      </c>
      <c r="J42" s="216" t="s">
        <v>477</v>
      </c>
      <c r="K42" s="209" t="s">
        <v>602</v>
      </c>
      <c r="L42" s="216" t="s">
        <v>192</v>
      </c>
      <c r="M42" s="216" t="s">
        <v>603</v>
      </c>
      <c r="N42" s="6" t="s">
        <v>69</v>
      </c>
      <c r="O42" s="6"/>
      <c r="P42" s="265" t="s">
        <v>70</v>
      </c>
      <c r="Q42" s="6"/>
      <c r="R42" s="6" t="s">
        <v>70</v>
      </c>
      <c r="S42" s="150" t="s">
        <v>604</v>
      </c>
      <c r="T42" s="58" t="s">
        <v>605</v>
      </c>
      <c r="U42" s="36">
        <v>3</v>
      </c>
      <c r="V42" s="36">
        <v>12</v>
      </c>
      <c r="W42" s="36" t="s">
        <v>606</v>
      </c>
      <c r="X42" s="36" t="s">
        <v>607</v>
      </c>
      <c r="Y42" s="6" t="s">
        <v>75</v>
      </c>
      <c r="Z42" s="6" t="s">
        <v>75</v>
      </c>
      <c r="AA42" s="6" t="s">
        <v>75</v>
      </c>
      <c r="AB42" s="6" t="s">
        <v>76</v>
      </c>
      <c r="AC42" s="6" t="s">
        <v>75</v>
      </c>
      <c r="AD42" s="6" t="str">
        <f>_xlfn.TEXTJOIN("/",TRUE,IF(OfertaPlazas[[#This Row],[GITST]]="SI","GITST",""),IF(OfertaPlazas[[#This Row],[GIB]]="SI","GIB",""),IF(OfertaPlazas[[#This Row],[GISD]]="SI","GISD",""),IF(OfertaPlazas[[#This Row],[MASTER]]="SI","MASTER",""))</f>
        <v>GITST/GIB/MASTER</v>
      </c>
      <c r="AE42" s="16" t="s">
        <v>75</v>
      </c>
      <c r="AF42" s="16" t="s">
        <v>75</v>
      </c>
      <c r="AG42" s="16" t="s">
        <v>75</v>
      </c>
      <c r="AH42" s="16" t="s">
        <v>75</v>
      </c>
      <c r="AI42" s="16" t="s">
        <v>75</v>
      </c>
      <c r="AJ42" s="16" t="s">
        <v>75</v>
      </c>
      <c r="AK42" s="16" t="s">
        <v>75</v>
      </c>
      <c r="AL42" s="16" t="s">
        <v>75</v>
      </c>
      <c r="AM42" s="16" t="s">
        <v>75</v>
      </c>
      <c r="AN42" s="16" t="s">
        <v>75</v>
      </c>
      <c r="AO42" s="6" t="s">
        <v>75</v>
      </c>
      <c r="AP42" s="6" t="s">
        <v>75</v>
      </c>
      <c r="AQ42" s="6" t="s">
        <v>75</v>
      </c>
      <c r="AR42" s="6" t="s">
        <v>76</v>
      </c>
      <c r="AS42" s="27" t="s">
        <v>608</v>
      </c>
      <c r="AT42" s="301" t="s">
        <v>609</v>
      </c>
      <c r="AU42" s="259" t="s">
        <v>610</v>
      </c>
      <c r="AV42" s="13"/>
      <c r="AW42" s="13"/>
      <c r="AX42" s="13"/>
      <c r="AY42" s="91"/>
      <c r="AZ42" s="91"/>
      <c r="BA42" s="91"/>
      <c r="BB42" s="91"/>
      <c r="BC42" s="91"/>
      <c r="BD42" s="91"/>
      <c r="BE42" s="319" t="e">
        <f>VLOOKUP(B42,'TEAMS_30-09-2021'!$D:$AG,30,FALSE)</f>
        <v>#N/A</v>
      </c>
      <c r="BF42" s="319" t="e">
        <f>VLOOKUP(B42,'ENCUESTAS JUN-2021'!I:I,1,FALSE)</f>
        <v>#N/A</v>
      </c>
      <c r="BG42" s="63" t="e">
        <f>VLOOKUP(B42,'TEAMS_30-09-2021'!D:D,1,FALSE)</f>
        <v>#N/A</v>
      </c>
      <c r="BH42" s="54"/>
      <c r="BI42" s="1"/>
    </row>
    <row r="43" spans="1:64" s="19" customFormat="1" ht="20.100000000000001" hidden="1" customHeight="1">
      <c r="A43" s="357">
        <v>42</v>
      </c>
      <c r="B43" s="13" t="s">
        <v>611</v>
      </c>
      <c r="C43" s="252" t="s">
        <v>612</v>
      </c>
      <c r="D43" s="63" t="s">
        <v>474</v>
      </c>
      <c r="E43" s="6" t="s">
        <v>613</v>
      </c>
      <c r="F43" s="6" t="s">
        <v>462</v>
      </c>
      <c r="G43" s="36" t="s">
        <v>614</v>
      </c>
      <c r="H43" s="209" t="s">
        <v>615</v>
      </c>
      <c r="I43" s="216" t="s">
        <v>616</v>
      </c>
      <c r="J43" s="216" t="s">
        <v>616</v>
      </c>
      <c r="K43" s="209"/>
      <c r="L43" s="216" t="s">
        <v>616</v>
      </c>
      <c r="M43" s="216"/>
      <c r="N43" s="6" t="s">
        <v>69</v>
      </c>
      <c r="O43" s="6"/>
      <c r="P43" s="6" t="s">
        <v>70</v>
      </c>
      <c r="Q43" s="6"/>
      <c r="R43" s="6"/>
      <c r="S43" s="150" t="s">
        <v>194</v>
      </c>
      <c r="T43" s="6" t="s">
        <v>72</v>
      </c>
      <c r="U43" s="36">
        <v>3</v>
      </c>
      <c r="V43" s="36">
        <v>12</v>
      </c>
      <c r="W43" s="36" t="s">
        <v>617</v>
      </c>
      <c r="X43" s="36" t="s">
        <v>618</v>
      </c>
      <c r="Y43" s="6" t="s">
        <v>76</v>
      </c>
      <c r="Z43" s="6" t="s">
        <v>76</v>
      </c>
      <c r="AA43" s="6" t="s">
        <v>76</v>
      </c>
      <c r="AB43" s="6" t="s">
        <v>76</v>
      </c>
      <c r="AC43" s="6" t="s">
        <v>75</v>
      </c>
      <c r="AD43" s="6" t="str">
        <f>_xlfn.TEXTJOIN("/",TRUE,IF(OfertaPlazas[[#This Row],[GITST]]="SI","GITST",""),IF(OfertaPlazas[[#This Row],[GIB]]="SI","GIB",""),IF(OfertaPlazas[[#This Row],[GISD]]="SI","GISD",""),IF(OfertaPlazas[[#This Row],[MASTER]]="SI","MASTER",""))</f>
        <v>MASTER</v>
      </c>
      <c r="AE43" s="16" t="s">
        <v>76</v>
      </c>
      <c r="AF43" s="16" t="s">
        <v>76</v>
      </c>
      <c r="AG43" s="16" t="s">
        <v>76</v>
      </c>
      <c r="AH43" s="16" t="s">
        <v>76</v>
      </c>
      <c r="AI43" s="16" t="s">
        <v>76</v>
      </c>
      <c r="AJ43" s="16" t="s">
        <v>76</v>
      </c>
      <c r="AK43" s="16" t="s">
        <v>76</v>
      </c>
      <c r="AL43" s="16" t="s">
        <v>76</v>
      </c>
      <c r="AM43" s="16" t="s">
        <v>76</v>
      </c>
      <c r="AN43" s="16" t="s">
        <v>76</v>
      </c>
      <c r="AO43" s="6" t="s">
        <v>76</v>
      </c>
      <c r="AP43" s="6" t="s">
        <v>76</v>
      </c>
      <c r="AQ43" s="6" t="s">
        <v>76</v>
      </c>
      <c r="AR43" s="6" t="s">
        <v>75</v>
      </c>
      <c r="AS43" s="185" t="s">
        <v>619</v>
      </c>
      <c r="AT43" s="301"/>
      <c r="AU43" s="13" t="s">
        <v>620</v>
      </c>
      <c r="AV43" s="72" t="s">
        <v>621</v>
      </c>
      <c r="AW43" s="13"/>
      <c r="AX43" s="13"/>
      <c r="AY43" s="91"/>
      <c r="AZ43" s="91"/>
      <c r="BA43" s="91"/>
      <c r="BB43" s="91"/>
      <c r="BC43" s="91"/>
      <c r="BD43" s="91"/>
      <c r="BE43" s="319">
        <f>VLOOKUP(B43,'TEAMS_30-09-2021'!$D:$AG,30,FALSE)</f>
        <v>0</v>
      </c>
      <c r="BF43" s="320" t="str">
        <f>VLOOKUP(B43,'ENCUESTAS JUN-2021'!I:I,1,FALSE)</f>
        <v>HEC</v>
      </c>
      <c r="BG43" s="63" t="str">
        <f>VLOOKUP(B43,'TEAMS_30-09-2021'!D:D,1,FALSE)</f>
        <v>HEC</v>
      </c>
      <c r="BH43" s="13"/>
      <c r="BL43" s="19" t="e">
        <f t="shared" ref="BL43:BL56" si="1">VLOOKUP(E43,#REF!,1,FALSE)</f>
        <v>#REF!</v>
      </c>
    </row>
    <row r="44" spans="1:64" s="19" customFormat="1" ht="20.100000000000001" hidden="1" customHeight="1">
      <c r="A44" s="357">
        <v>43</v>
      </c>
      <c r="B44" s="13" t="s">
        <v>622</v>
      </c>
      <c r="C44" s="252" t="s">
        <v>623</v>
      </c>
      <c r="D44" s="63" t="s">
        <v>624</v>
      </c>
      <c r="E44" s="6" t="s">
        <v>625</v>
      </c>
      <c r="F44" s="6" t="s">
        <v>462</v>
      </c>
      <c r="G44" s="6"/>
      <c r="H44" s="209" t="s">
        <v>626</v>
      </c>
      <c r="I44" s="216" t="s">
        <v>104</v>
      </c>
      <c r="J44" s="216" t="s">
        <v>398</v>
      </c>
      <c r="K44" s="209" t="s">
        <v>627</v>
      </c>
      <c r="L44" s="216" t="s">
        <v>141</v>
      </c>
      <c r="M44" s="216" t="s">
        <v>68</v>
      </c>
      <c r="N44" s="6" t="s">
        <v>69</v>
      </c>
      <c r="O44" s="6" t="s">
        <v>72</v>
      </c>
      <c r="P44" s="6" t="s">
        <v>70</v>
      </c>
      <c r="Q44" s="6" t="s">
        <v>628</v>
      </c>
      <c r="R44" s="6"/>
      <c r="S44" s="150" t="s">
        <v>194</v>
      </c>
      <c r="T44" s="6" t="s">
        <v>72</v>
      </c>
      <c r="U44" s="36">
        <v>3</v>
      </c>
      <c r="V44" s="36">
        <v>10</v>
      </c>
      <c r="W44" s="36" t="s">
        <v>629</v>
      </c>
      <c r="X44" s="36" t="s">
        <v>630</v>
      </c>
      <c r="Y44" s="6" t="s">
        <v>75</v>
      </c>
      <c r="Z44" s="6" t="s">
        <v>75</v>
      </c>
      <c r="AA44" s="6" t="s">
        <v>76</v>
      </c>
      <c r="AB44" s="6" t="s">
        <v>75</v>
      </c>
      <c r="AC44" s="6" t="s">
        <v>75</v>
      </c>
      <c r="AD44" s="6" t="str">
        <f>_xlfn.TEXTJOIN("/",TRUE,IF(OfertaPlazas[[#This Row],[GITST]]="SI","GITST",""),IF(OfertaPlazas[[#This Row],[GIB]]="SI","GIB",""),IF(OfertaPlazas[[#This Row],[GISD]]="SI","GISD",""),IF(OfertaPlazas[[#This Row],[MASTER]]="SI","MASTER",""))</f>
        <v>GITST/GISD/MASTER</v>
      </c>
      <c r="AE44" s="6" t="s">
        <v>75</v>
      </c>
      <c r="AF44" s="6" t="s">
        <v>75</v>
      </c>
      <c r="AG44" s="16" t="s">
        <v>75</v>
      </c>
      <c r="AH44" s="6" t="s">
        <v>75</v>
      </c>
      <c r="AI44" s="6" t="s">
        <v>75</v>
      </c>
      <c r="AJ44" s="6" t="s">
        <v>75</v>
      </c>
      <c r="AK44" s="6" t="s">
        <v>75</v>
      </c>
      <c r="AL44" s="6" t="s">
        <v>75</v>
      </c>
      <c r="AM44" s="6" t="s">
        <v>75</v>
      </c>
      <c r="AN44" s="6" t="s">
        <v>75</v>
      </c>
      <c r="AO44" s="6" t="s">
        <v>75</v>
      </c>
      <c r="AP44" s="6" t="s">
        <v>75</v>
      </c>
      <c r="AQ44" s="6" t="s">
        <v>75</v>
      </c>
      <c r="AR44" s="6" t="s">
        <v>76</v>
      </c>
      <c r="AS44" s="185" t="s">
        <v>145</v>
      </c>
      <c r="AT44" s="301"/>
      <c r="AU44" s="259" t="s">
        <v>631</v>
      </c>
      <c r="AV44" s="13" t="s">
        <v>632</v>
      </c>
      <c r="AW44" s="13"/>
      <c r="AX44" s="13"/>
      <c r="AY44" s="91"/>
      <c r="AZ44" s="91"/>
      <c r="BA44" s="91"/>
      <c r="BB44" s="91"/>
      <c r="BC44" s="91"/>
      <c r="BD44" s="91"/>
      <c r="BE44" s="319">
        <f>VLOOKUP(B44,'TEAMS_30-09-2021'!$D:$AG,30,FALSE)</f>
        <v>0</v>
      </c>
      <c r="BF44" s="319" t="e">
        <f>VLOOKUP(B44,'ENCUESTAS JUN-2021'!I:I,1,FALSE)</f>
        <v>#N/A</v>
      </c>
      <c r="BG44" s="63" t="str">
        <f>VLOOKUP(B44,'TEAMS_30-09-2021'!D:D,1,FALSE)</f>
        <v>Université des Sciences et Technologies de Lille - Polytech Lille</v>
      </c>
      <c r="BH44" s="13"/>
      <c r="BL44" s="19" t="e">
        <f t="shared" si="1"/>
        <v>#REF!</v>
      </c>
    </row>
    <row r="45" spans="1:64" s="19" customFormat="1" ht="20.100000000000001" hidden="1" customHeight="1">
      <c r="A45" s="357">
        <v>44</v>
      </c>
      <c r="B45" s="13" t="s">
        <v>633</v>
      </c>
      <c r="C45" s="252" t="s">
        <v>634</v>
      </c>
      <c r="D45" s="63" t="s">
        <v>624</v>
      </c>
      <c r="E45" s="6" t="s">
        <v>635</v>
      </c>
      <c r="F45" s="6" t="s">
        <v>462</v>
      </c>
      <c r="G45" s="36" t="s">
        <v>577</v>
      </c>
      <c r="H45" s="209" t="s">
        <v>636</v>
      </c>
      <c r="I45" s="216" t="s">
        <v>153</v>
      </c>
      <c r="J45" s="216" t="s">
        <v>169</v>
      </c>
      <c r="K45" s="209" t="s">
        <v>637</v>
      </c>
      <c r="L45" s="216" t="s">
        <v>141</v>
      </c>
      <c r="M45" s="216" t="s">
        <v>193</v>
      </c>
      <c r="N45" s="6" t="s">
        <v>69</v>
      </c>
      <c r="O45" s="6"/>
      <c r="P45" s="6" t="s">
        <v>70</v>
      </c>
      <c r="Q45" s="6"/>
      <c r="R45" s="6"/>
      <c r="S45" s="150" t="s">
        <v>194</v>
      </c>
      <c r="T45" s="6" t="s">
        <v>72</v>
      </c>
      <c r="U45" s="36">
        <v>2</v>
      </c>
      <c r="V45" s="36">
        <v>12</v>
      </c>
      <c r="W45" s="36" t="s">
        <v>638</v>
      </c>
      <c r="X45" s="36" t="s">
        <v>639</v>
      </c>
      <c r="Y45" s="6" t="s">
        <v>75</v>
      </c>
      <c r="Z45" s="6" t="s">
        <v>75</v>
      </c>
      <c r="AA45" s="6" t="s">
        <v>76</v>
      </c>
      <c r="AB45" s="6" t="s">
        <v>76</v>
      </c>
      <c r="AC45" s="6" t="s">
        <v>75</v>
      </c>
      <c r="AD45" s="6" t="str">
        <f>_xlfn.TEXTJOIN("/",TRUE,IF(OfertaPlazas[[#This Row],[GITST]]="SI","GITST",""),IF(OfertaPlazas[[#This Row],[GIB]]="SI","GIB",""),IF(OfertaPlazas[[#This Row],[GISD]]="SI","GISD",""),IF(OfertaPlazas[[#This Row],[MASTER]]="SI","MASTER",""))</f>
        <v>GITST/MASTER</v>
      </c>
      <c r="AE45" s="6" t="s">
        <v>75</v>
      </c>
      <c r="AF45" s="6" t="s">
        <v>75</v>
      </c>
      <c r="AG45" s="6" t="s">
        <v>75</v>
      </c>
      <c r="AH45" s="6" t="s">
        <v>75</v>
      </c>
      <c r="AI45" s="6" t="s">
        <v>75</v>
      </c>
      <c r="AJ45" s="6" t="s">
        <v>75</v>
      </c>
      <c r="AK45" s="6" t="s">
        <v>75</v>
      </c>
      <c r="AL45" s="6" t="s">
        <v>75</v>
      </c>
      <c r="AM45" s="6" t="s">
        <v>75</v>
      </c>
      <c r="AN45" s="6" t="s">
        <v>75</v>
      </c>
      <c r="AO45" s="6" t="s">
        <v>75</v>
      </c>
      <c r="AP45" s="6" t="s">
        <v>75</v>
      </c>
      <c r="AQ45" s="6" t="s">
        <v>75</v>
      </c>
      <c r="AR45" s="6" t="s">
        <v>75</v>
      </c>
      <c r="AS45" s="185" t="s">
        <v>145</v>
      </c>
      <c r="AT45" s="301"/>
      <c r="AU45" s="13" t="s">
        <v>640</v>
      </c>
      <c r="AV45" s="13"/>
      <c r="AW45" s="13"/>
      <c r="AX45" s="13"/>
      <c r="AY45" s="93" t="s">
        <v>641</v>
      </c>
      <c r="AZ45" s="91"/>
      <c r="BA45" s="91"/>
      <c r="BB45" s="91"/>
      <c r="BC45" s="91"/>
      <c r="BD45" s="91"/>
      <c r="BE45" s="319"/>
      <c r="BF45" s="320" t="str">
        <f>VLOOKUP(B45,'ENCUESTAS JUN-2021'!I:I,1,FALSE)</f>
        <v>Centrale Lille</v>
      </c>
      <c r="BG45" s="335" t="str">
        <f>VLOOKUP(B45,'TEAMS_30-09-2021'!D:D,1,FALSE)</f>
        <v>Centrale Lille</v>
      </c>
      <c r="BH45" s="13"/>
      <c r="BL45" s="19" t="e">
        <f t="shared" si="1"/>
        <v>#REF!</v>
      </c>
    </row>
    <row r="46" spans="1:64" s="19" customFormat="1" ht="20.100000000000001" hidden="1" customHeight="1">
      <c r="A46" s="357">
        <v>45</v>
      </c>
      <c r="B46" s="13" t="s">
        <v>642</v>
      </c>
      <c r="C46" s="252" t="s">
        <v>643</v>
      </c>
      <c r="D46" s="63" t="s">
        <v>624</v>
      </c>
      <c r="E46" s="6" t="s">
        <v>644</v>
      </c>
      <c r="F46" s="6" t="s">
        <v>462</v>
      </c>
      <c r="G46" s="6"/>
      <c r="H46" s="209" t="s">
        <v>326</v>
      </c>
      <c r="I46" s="216" t="s">
        <v>169</v>
      </c>
      <c r="J46" s="216" t="s">
        <v>118</v>
      </c>
      <c r="K46" s="209"/>
      <c r="L46" s="216" t="s">
        <v>169</v>
      </c>
      <c r="M46" s="216"/>
      <c r="N46" s="54" t="s">
        <v>69</v>
      </c>
      <c r="O46" s="6"/>
      <c r="P46" s="6" t="s">
        <v>70</v>
      </c>
      <c r="Q46" s="6"/>
      <c r="R46" s="6"/>
      <c r="S46" s="150" t="s">
        <v>194</v>
      </c>
      <c r="T46" s="6" t="s">
        <v>72</v>
      </c>
      <c r="U46" s="36">
        <v>1</v>
      </c>
      <c r="V46" s="36">
        <v>12</v>
      </c>
      <c r="W46" s="36" t="s">
        <v>645</v>
      </c>
      <c r="X46" s="36" t="s">
        <v>646</v>
      </c>
      <c r="Y46" s="6" t="s">
        <v>75</v>
      </c>
      <c r="Z46" s="6" t="s">
        <v>75</v>
      </c>
      <c r="AA46" s="6" t="s">
        <v>76</v>
      </c>
      <c r="AB46" s="6" t="s">
        <v>76</v>
      </c>
      <c r="AC46" s="6" t="s">
        <v>75</v>
      </c>
      <c r="AD46" s="6" t="str">
        <f>_xlfn.TEXTJOIN("/",TRUE,IF(OfertaPlazas[[#This Row],[GITST]]="SI","GITST",""),IF(OfertaPlazas[[#This Row],[GIB]]="SI","GIB",""),IF(OfertaPlazas[[#This Row],[GISD]]="SI","GISD",""),IF(OfertaPlazas[[#This Row],[MASTER]]="SI","MASTER",""))</f>
        <v>GITST/MASTER</v>
      </c>
      <c r="AE46" s="6" t="s">
        <v>75</v>
      </c>
      <c r="AF46" s="6" t="s">
        <v>75</v>
      </c>
      <c r="AG46" s="16" t="s">
        <v>75</v>
      </c>
      <c r="AH46" s="16" t="s">
        <v>75</v>
      </c>
      <c r="AI46" s="16" t="s">
        <v>75</v>
      </c>
      <c r="AJ46" s="16" t="s">
        <v>75</v>
      </c>
      <c r="AK46" s="16" t="s">
        <v>75</v>
      </c>
      <c r="AL46" s="16" t="s">
        <v>75</v>
      </c>
      <c r="AM46" s="16" t="s">
        <v>75</v>
      </c>
      <c r="AN46" s="16" t="s">
        <v>75</v>
      </c>
      <c r="AO46" s="16" t="s">
        <v>75</v>
      </c>
      <c r="AP46" s="16" t="s">
        <v>75</v>
      </c>
      <c r="AQ46" s="16" t="s">
        <v>75</v>
      </c>
      <c r="AR46" s="6" t="s">
        <v>76</v>
      </c>
      <c r="AS46" s="185" t="s">
        <v>145</v>
      </c>
      <c r="AT46" s="301"/>
      <c r="AU46" s="273" t="s">
        <v>647</v>
      </c>
      <c r="AV46" s="13"/>
      <c r="AW46" s="13"/>
      <c r="AX46" s="13"/>
      <c r="AY46" s="91" t="s">
        <v>129</v>
      </c>
      <c r="AZ46" s="91" t="s">
        <v>570</v>
      </c>
      <c r="BA46" s="91"/>
      <c r="BB46" s="91" t="s">
        <v>648</v>
      </c>
      <c r="BC46" s="91" t="s">
        <v>649</v>
      </c>
      <c r="BD46" s="91"/>
      <c r="BE46" s="319" t="e">
        <f>VLOOKUP(B46,'TEAMS_30-09-2021'!$D:$AG,30,FALSE)</f>
        <v>#N/A</v>
      </c>
      <c r="BF46" s="319" t="e">
        <f>VLOOKUP(B46,'ENCUESTAS JUN-2021'!I:I,1,FALSE)</f>
        <v>#N/A</v>
      </c>
      <c r="BG46" s="63" t="e">
        <f>VLOOKUP(B46,'TEAMS_30-09-2021'!D:D,1,FALSE)</f>
        <v>#N/A</v>
      </c>
      <c r="BH46" s="13"/>
      <c r="BL46" s="19" t="e">
        <f t="shared" si="1"/>
        <v>#REF!</v>
      </c>
    </row>
    <row r="47" spans="1:64" s="19" customFormat="1" ht="20.100000000000001" hidden="1" customHeight="1">
      <c r="A47" s="357">
        <v>46</v>
      </c>
      <c r="B47" s="13" t="s">
        <v>650</v>
      </c>
      <c r="C47" s="252" t="s">
        <v>651</v>
      </c>
      <c r="D47" s="63" t="s">
        <v>652</v>
      </c>
      <c r="E47" s="6" t="s">
        <v>653</v>
      </c>
      <c r="F47" s="6" t="s">
        <v>462</v>
      </c>
      <c r="G47" s="6"/>
      <c r="H47" s="209" t="s">
        <v>515</v>
      </c>
      <c r="I47" s="216" t="s">
        <v>104</v>
      </c>
      <c r="J47" s="216" t="s">
        <v>477</v>
      </c>
      <c r="K47" s="209" t="s">
        <v>516</v>
      </c>
      <c r="L47" s="216" t="s">
        <v>106</v>
      </c>
      <c r="M47" s="216" t="s">
        <v>142</v>
      </c>
      <c r="N47" s="6" t="s">
        <v>69</v>
      </c>
      <c r="O47" s="6"/>
      <c r="P47" s="6" t="s">
        <v>70</v>
      </c>
      <c r="Q47" s="6" t="s">
        <v>70</v>
      </c>
      <c r="R47" s="6" t="s">
        <v>70</v>
      </c>
      <c r="S47" s="150" t="s">
        <v>517</v>
      </c>
      <c r="T47" s="6" t="s">
        <v>72</v>
      </c>
      <c r="U47" s="36">
        <v>1</v>
      </c>
      <c r="V47" s="36">
        <v>12</v>
      </c>
      <c r="W47" s="36" t="s">
        <v>654</v>
      </c>
      <c r="X47" s="36" t="s">
        <v>655</v>
      </c>
      <c r="Y47" s="6" t="s">
        <v>75</v>
      </c>
      <c r="Z47" s="6" t="s">
        <v>75</v>
      </c>
      <c r="AA47" s="6" t="s">
        <v>75</v>
      </c>
      <c r="AB47" s="6" t="s">
        <v>75</v>
      </c>
      <c r="AC47" s="6" t="s">
        <v>75</v>
      </c>
      <c r="AD47" s="6" t="str">
        <f>_xlfn.TEXTJOIN("/",TRUE,IF(OfertaPlazas[[#This Row],[GITST]]="SI","GITST",""),IF(OfertaPlazas[[#This Row],[GIB]]="SI","GIB",""),IF(OfertaPlazas[[#This Row],[GISD]]="SI","GISD",""),IF(OfertaPlazas[[#This Row],[MASTER]]="SI","MASTER",""))</f>
        <v>GITST/GIB/GISD/MASTER</v>
      </c>
      <c r="AE47" s="6" t="s">
        <v>75</v>
      </c>
      <c r="AF47" s="6" t="s">
        <v>75</v>
      </c>
      <c r="AG47" s="6" t="s">
        <v>75</v>
      </c>
      <c r="AH47" s="6" t="s">
        <v>75</v>
      </c>
      <c r="AI47" s="6" t="s">
        <v>75</v>
      </c>
      <c r="AJ47" s="6" t="s">
        <v>75</v>
      </c>
      <c r="AK47" s="6" t="s">
        <v>75</v>
      </c>
      <c r="AL47" s="6" t="s">
        <v>75</v>
      </c>
      <c r="AM47" s="6" t="s">
        <v>75</v>
      </c>
      <c r="AN47" s="6" t="s">
        <v>75</v>
      </c>
      <c r="AO47" s="6" t="s">
        <v>75</v>
      </c>
      <c r="AP47" s="6" t="s">
        <v>75</v>
      </c>
      <c r="AQ47" s="16" t="s">
        <v>75</v>
      </c>
      <c r="AR47" s="6" t="s">
        <v>76</v>
      </c>
      <c r="AS47" s="185" t="s">
        <v>656</v>
      </c>
      <c r="AT47" s="301"/>
      <c r="AU47" s="259" t="s">
        <v>657</v>
      </c>
      <c r="AV47" s="13" t="s">
        <v>658</v>
      </c>
      <c r="AW47" s="13"/>
      <c r="AX47" s="13"/>
      <c r="AY47" s="91"/>
      <c r="AZ47" s="91"/>
      <c r="BA47" s="91"/>
      <c r="BB47" s="91"/>
      <c r="BC47" s="91"/>
      <c r="BD47" s="91"/>
      <c r="BE47" s="319"/>
      <c r="BF47" s="319"/>
      <c r="BG47" s="63"/>
      <c r="BH47" s="13"/>
      <c r="BL47" s="19" t="e">
        <f t="shared" si="1"/>
        <v>#REF!</v>
      </c>
    </row>
    <row r="48" spans="1:64" s="19" customFormat="1" ht="20.100000000000001" hidden="1" customHeight="1">
      <c r="A48" s="357">
        <v>47</v>
      </c>
      <c r="B48" s="13" t="s">
        <v>659</v>
      </c>
      <c r="C48" s="252" t="s">
        <v>660</v>
      </c>
      <c r="D48" s="63" t="s">
        <v>661</v>
      </c>
      <c r="E48" s="54" t="s">
        <v>662</v>
      </c>
      <c r="F48" s="6" t="s">
        <v>462</v>
      </c>
      <c r="G48" s="36" t="s">
        <v>577</v>
      </c>
      <c r="H48" s="209" t="s">
        <v>663</v>
      </c>
      <c r="I48" s="216" t="s">
        <v>664</v>
      </c>
      <c r="J48" s="216" t="s">
        <v>664</v>
      </c>
      <c r="K48" s="209" t="s">
        <v>665</v>
      </c>
      <c r="L48" s="216" t="s">
        <v>142</v>
      </c>
      <c r="M48" s="216" t="s">
        <v>142</v>
      </c>
      <c r="N48" s="6" t="s">
        <v>69</v>
      </c>
      <c r="O48" s="6"/>
      <c r="P48" s="6" t="s">
        <v>70</v>
      </c>
      <c r="Q48" s="6" t="s">
        <v>70</v>
      </c>
      <c r="R48" s="6" t="s">
        <v>70</v>
      </c>
      <c r="S48" s="150" t="s">
        <v>517</v>
      </c>
      <c r="T48" s="6" t="s">
        <v>72</v>
      </c>
      <c r="U48" s="36">
        <v>2</v>
      </c>
      <c r="V48" s="36">
        <v>12</v>
      </c>
      <c r="W48" s="36" t="s">
        <v>666</v>
      </c>
      <c r="X48" s="36" t="s">
        <v>667</v>
      </c>
      <c r="Y48" s="6" t="s">
        <v>75</v>
      </c>
      <c r="Z48" s="6" t="s">
        <v>75</v>
      </c>
      <c r="AA48" s="6" t="s">
        <v>75</v>
      </c>
      <c r="AB48" s="6" t="s">
        <v>75</v>
      </c>
      <c r="AC48" s="6" t="s">
        <v>75</v>
      </c>
      <c r="AD48" s="6" t="str">
        <f>_xlfn.TEXTJOIN("/",TRUE,IF(OfertaPlazas[[#This Row],[GITST]]="SI","GITST",""),IF(OfertaPlazas[[#This Row],[GIB]]="SI","GIB",""),IF(OfertaPlazas[[#This Row],[GISD]]="SI","GISD",""),IF(OfertaPlazas[[#This Row],[MASTER]]="SI","MASTER",""))</f>
        <v>GITST/GIB/GISD/MASTER</v>
      </c>
      <c r="AE48" s="6" t="s">
        <v>75</v>
      </c>
      <c r="AF48" s="6" t="s">
        <v>75</v>
      </c>
      <c r="AG48" s="6" t="s">
        <v>75</v>
      </c>
      <c r="AH48" s="6" t="s">
        <v>75</v>
      </c>
      <c r="AI48" s="6" t="s">
        <v>75</v>
      </c>
      <c r="AJ48" s="6" t="s">
        <v>75</v>
      </c>
      <c r="AK48" s="6" t="s">
        <v>75</v>
      </c>
      <c r="AL48" s="6" t="s">
        <v>75</v>
      </c>
      <c r="AM48" s="6" t="s">
        <v>75</v>
      </c>
      <c r="AN48" s="6" t="s">
        <v>75</v>
      </c>
      <c r="AO48" s="6" t="s">
        <v>75</v>
      </c>
      <c r="AP48" s="6" t="s">
        <v>75</v>
      </c>
      <c r="AQ48" s="6" t="s">
        <v>75</v>
      </c>
      <c r="AR48" s="6" t="s">
        <v>75</v>
      </c>
      <c r="AS48" s="27" t="s">
        <v>482</v>
      </c>
      <c r="AT48" s="301" t="s">
        <v>668</v>
      </c>
      <c r="AU48" s="13" t="s">
        <v>669</v>
      </c>
      <c r="AV48" s="13" t="s">
        <v>670</v>
      </c>
      <c r="AW48" s="13"/>
      <c r="AX48" s="13"/>
      <c r="AY48" s="93"/>
      <c r="AZ48" s="91"/>
      <c r="BA48" s="91"/>
      <c r="BB48" s="91"/>
      <c r="BC48" s="91"/>
      <c r="BD48" s="91"/>
      <c r="BE48" s="319"/>
      <c r="BF48" s="320"/>
      <c r="BG48" s="335"/>
      <c r="BH48" s="13"/>
      <c r="BL48" s="19" t="e">
        <f t="shared" si="1"/>
        <v>#REF!</v>
      </c>
    </row>
    <row r="49" spans="1:64" s="19" customFormat="1" ht="20.100000000000001" hidden="1" customHeight="1">
      <c r="A49" s="357">
        <v>48</v>
      </c>
      <c r="B49" s="13" t="s">
        <v>671</v>
      </c>
      <c r="C49" s="252" t="s">
        <v>672</v>
      </c>
      <c r="D49" s="63" t="s">
        <v>661</v>
      </c>
      <c r="E49" s="6" t="s">
        <v>673</v>
      </c>
      <c r="F49" s="6" t="s">
        <v>462</v>
      </c>
      <c r="G49" s="6"/>
      <c r="H49" s="209" t="s">
        <v>674</v>
      </c>
      <c r="I49" s="216" t="s">
        <v>675</v>
      </c>
      <c r="J49" s="216" t="s">
        <v>676</v>
      </c>
      <c r="K49" s="209" t="s">
        <v>677</v>
      </c>
      <c r="L49" s="216" t="s">
        <v>67</v>
      </c>
      <c r="M49" s="216" t="s">
        <v>678</v>
      </c>
      <c r="N49" s="6" t="s">
        <v>69</v>
      </c>
      <c r="O49" s="6"/>
      <c r="P49" s="6" t="s">
        <v>70</v>
      </c>
      <c r="Q49" s="6" t="s">
        <v>70</v>
      </c>
      <c r="R49" s="6" t="s">
        <v>70</v>
      </c>
      <c r="S49" s="150" t="s">
        <v>517</v>
      </c>
      <c r="T49" s="6" t="s">
        <v>72</v>
      </c>
      <c r="U49" s="36">
        <v>6</v>
      </c>
      <c r="V49" s="36">
        <v>10</v>
      </c>
      <c r="W49" s="36" t="s">
        <v>679</v>
      </c>
      <c r="X49" s="36" t="s">
        <v>680</v>
      </c>
      <c r="Y49" s="6" t="s">
        <v>75</v>
      </c>
      <c r="Z49" s="6" t="s">
        <v>75</v>
      </c>
      <c r="AA49" s="6" t="s">
        <v>75</v>
      </c>
      <c r="AB49" s="6" t="s">
        <v>75</v>
      </c>
      <c r="AC49" s="6" t="s">
        <v>75</v>
      </c>
      <c r="AD49" s="6" t="str">
        <f>_xlfn.TEXTJOIN("/",TRUE,IF(OfertaPlazas[[#This Row],[GITST]]="SI","GITST",""),IF(OfertaPlazas[[#This Row],[GIB]]="SI","GIB",""),IF(OfertaPlazas[[#This Row],[GISD]]="SI","GISD",""),IF(OfertaPlazas[[#This Row],[MASTER]]="SI","MASTER",""))</f>
        <v>GITST/GIB/GISD/MASTER</v>
      </c>
      <c r="AE49" s="6" t="s">
        <v>75</v>
      </c>
      <c r="AF49" s="6" t="s">
        <v>75</v>
      </c>
      <c r="AG49" s="16" t="s">
        <v>75</v>
      </c>
      <c r="AH49" s="6" t="s">
        <v>75</v>
      </c>
      <c r="AI49" s="6" t="s">
        <v>75</v>
      </c>
      <c r="AJ49" s="6" t="s">
        <v>76</v>
      </c>
      <c r="AK49" s="6" t="s">
        <v>76</v>
      </c>
      <c r="AL49" s="6" t="s">
        <v>75</v>
      </c>
      <c r="AM49" s="6" t="s">
        <v>76</v>
      </c>
      <c r="AN49" s="6" t="s">
        <v>76</v>
      </c>
      <c r="AO49" s="6" t="s">
        <v>75</v>
      </c>
      <c r="AP49" s="6" t="s">
        <v>75</v>
      </c>
      <c r="AQ49" s="6" t="s">
        <v>75</v>
      </c>
      <c r="AR49" s="6" t="s">
        <v>76</v>
      </c>
      <c r="AS49" s="27" t="s">
        <v>482</v>
      </c>
      <c r="AT49" s="301"/>
      <c r="AU49" s="259" t="s">
        <v>681</v>
      </c>
      <c r="AV49" s="13"/>
      <c r="AW49" s="13"/>
      <c r="AX49" s="13"/>
      <c r="AY49" s="91" t="s">
        <v>129</v>
      </c>
      <c r="AZ49" s="91" t="s">
        <v>682</v>
      </c>
      <c r="BA49" s="91" t="s">
        <v>683</v>
      </c>
      <c r="BB49" s="91" t="s">
        <v>683</v>
      </c>
      <c r="BC49" s="91" t="s">
        <v>684</v>
      </c>
      <c r="BD49" s="91" t="s">
        <v>685</v>
      </c>
      <c r="BE49" s="319" t="str">
        <f>VLOOKUP(B49,'TEAMS_30-09-2021'!$D:$AG,30,FALSE)</f>
        <v>se añade el área de bio 914</v>
      </c>
      <c r="BF49" s="319" t="e">
        <f>VLOOKUP(B49,'ENCUESTAS JUN-2021'!I:I,1,FALSE)</f>
        <v>#N/A</v>
      </c>
      <c r="BG49" s="63" t="str">
        <f>VLOOKUP(B49,'TEAMS_30-09-2021'!D:D,1,FALSE)</f>
        <v>INSA Lyon</v>
      </c>
      <c r="BH49" s="13"/>
      <c r="BL49" s="19" t="e">
        <f t="shared" si="1"/>
        <v>#REF!</v>
      </c>
    </row>
    <row r="50" spans="1:64" s="19" customFormat="1" ht="20.100000000000001" hidden="1" customHeight="1">
      <c r="A50" s="357">
        <v>49</v>
      </c>
      <c r="B50" s="13" t="s">
        <v>686</v>
      </c>
      <c r="C50" s="252" t="s">
        <v>687</v>
      </c>
      <c r="D50" s="63" t="s">
        <v>688</v>
      </c>
      <c r="E50" s="54" t="s">
        <v>689</v>
      </c>
      <c r="F50" s="6" t="s">
        <v>462</v>
      </c>
      <c r="G50" s="36" t="s">
        <v>577</v>
      </c>
      <c r="H50" s="209" t="s">
        <v>313</v>
      </c>
      <c r="I50" s="216" t="s">
        <v>104</v>
      </c>
      <c r="J50" s="216" t="s">
        <v>104</v>
      </c>
      <c r="K50" s="209" t="s">
        <v>690</v>
      </c>
      <c r="L50" s="216" t="s">
        <v>300</v>
      </c>
      <c r="M50" s="216" t="s">
        <v>300</v>
      </c>
      <c r="N50" s="6" t="s">
        <v>69</v>
      </c>
      <c r="O50" s="6"/>
      <c r="P50" s="6" t="s">
        <v>70</v>
      </c>
      <c r="Q50" s="6"/>
      <c r="R50" s="6"/>
      <c r="S50" s="150" t="s">
        <v>194</v>
      </c>
      <c r="T50" s="6" t="s">
        <v>72</v>
      </c>
      <c r="U50" s="36">
        <v>2</v>
      </c>
      <c r="V50" s="36">
        <v>12</v>
      </c>
      <c r="W50" s="36" t="s">
        <v>691</v>
      </c>
      <c r="X50" s="36" t="s">
        <v>692</v>
      </c>
      <c r="Y50" s="6" t="s">
        <v>75</v>
      </c>
      <c r="Z50" s="6" t="s">
        <v>75</v>
      </c>
      <c r="AA50" s="6" t="s">
        <v>76</v>
      </c>
      <c r="AB50" s="6" t="s">
        <v>76</v>
      </c>
      <c r="AC50" s="6" t="s">
        <v>75</v>
      </c>
      <c r="AD50" s="6" t="str">
        <f>_xlfn.TEXTJOIN("/",TRUE,IF(OfertaPlazas[[#This Row],[GITST]]="SI","GITST",""),IF(OfertaPlazas[[#This Row],[GIB]]="SI","GIB",""),IF(OfertaPlazas[[#This Row],[GISD]]="SI","GISD",""),IF(OfertaPlazas[[#This Row],[MASTER]]="SI","MASTER",""))</f>
        <v>GITST/MASTER</v>
      </c>
      <c r="AE50" s="6" t="s">
        <v>75</v>
      </c>
      <c r="AF50" s="6" t="s">
        <v>75</v>
      </c>
      <c r="AG50" s="6" t="s">
        <v>75</v>
      </c>
      <c r="AH50" s="6" t="s">
        <v>75</v>
      </c>
      <c r="AI50" s="6" t="s">
        <v>75</v>
      </c>
      <c r="AJ50" s="6" t="s">
        <v>75</v>
      </c>
      <c r="AK50" s="6" t="s">
        <v>75</v>
      </c>
      <c r="AL50" s="6" t="s">
        <v>75</v>
      </c>
      <c r="AM50" s="6" t="s">
        <v>75</v>
      </c>
      <c r="AN50" s="6" t="s">
        <v>75</v>
      </c>
      <c r="AO50" s="6" t="s">
        <v>75</v>
      </c>
      <c r="AP50" s="6" t="s">
        <v>75</v>
      </c>
      <c r="AQ50" s="6" t="s">
        <v>75</v>
      </c>
      <c r="AR50" s="6" t="s">
        <v>75</v>
      </c>
      <c r="AS50" s="185" t="s">
        <v>693</v>
      </c>
      <c r="AT50" s="301"/>
      <c r="AU50" s="13" t="s">
        <v>640</v>
      </c>
      <c r="AV50" s="13" t="s">
        <v>670</v>
      </c>
      <c r="AW50" s="13"/>
      <c r="AX50" s="13"/>
      <c r="AY50" s="93"/>
      <c r="AZ50" s="91"/>
      <c r="BA50" s="91"/>
      <c r="BB50" s="91"/>
      <c r="BC50" s="91"/>
      <c r="BD50" s="91"/>
      <c r="BE50" s="319"/>
      <c r="BF50" s="320"/>
      <c r="BG50" s="335"/>
      <c r="BH50" s="13"/>
      <c r="BL50" s="19" t="e">
        <f t="shared" si="1"/>
        <v>#REF!</v>
      </c>
    </row>
    <row r="51" spans="1:64" s="19" customFormat="1" ht="20.100000000000001" hidden="1" customHeight="1">
      <c r="A51" s="357">
        <v>50</v>
      </c>
      <c r="B51" s="72" t="s">
        <v>694</v>
      </c>
      <c r="C51" s="252" t="s">
        <v>695</v>
      </c>
      <c r="D51" s="63" t="s">
        <v>696</v>
      </c>
      <c r="E51" s="6" t="s">
        <v>697</v>
      </c>
      <c r="F51" s="6" t="s">
        <v>462</v>
      </c>
      <c r="G51" s="6"/>
      <c r="H51" s="209" t="s">
        <v>698</v>
      </c>
      <c r="I51" s="216" t="s">
        <v>699</v>
      </c>
      <c r="J51" s="216" t="s">
        <v>700</v>
      </c>
      <c r="K51" s="209" t="s">
        <v>701</v>
      </c>
      <c r="L51" s="216" t="s">
        <v>142</v>
      </c>
      <c r="M51" s="216" t="s">
        <v>702</v>
      </c>
      <c r="N51" s="6" t="s">
        <v>69</v>
      </c>
      <c r="O51" s="6"/>
      <c r="P51" s="6" t="s">
        <v>70</v>
      </c>
      <c r="Q51" s="6" t="s">
        <v>72</v>
      </c>
      <c r="R51" s="6" t="s">
        <v>70</v>
      </c>
      <c r="S51" s="150" t="s">
        <v>703</v>
      </c>
      <c r="T51" s="6" t="s">
        <v>72</v>
      </c>
      <c r="U51" s="36">
        <v>6</v>
      </c>
      <c r="V51" s="36">
        <v>12</v>
      </c>
      <c r="W51" s="36" t="s">
        <v>704</v>
      </c>
      <c r="X51" s="36" t="s">
        <v>705</v>
      </c>
      <c r="Y51" s="6" t="s">
        <v>75</v>
      </c>
      <c r="Z51" s="6" t="s">
        <v>75</v>
      </c>
      <c r="AA51" s="6" t="s">
        <v>75</v>
      </c>
      <c r="AB51" s="6" t="s">
        <v>75</v>
      </c>
      <c r="AC51" s="6" t="s">
        <v>75</v>
      </c>
      <c r="AD51" s="6" t="str">
        <f>_xlfn.TEXTJOIN("/",TRUE,IF(OfertaPlazas[[#This Row],[GITST]]="SI","GITST",""),IF(OfertaPlazas[[#This Row],[GIB]]="SI","GIB",""),IF(OfertaPlazas[[#This Row],[GISD]]="SI","GISD",""),IF(OfertaPlazas[[#This Row],[MASTER]]="SI","MASTER",""))</f>
        <v>GITST/GIB/GISD/MASTER</v>
      </c>
      <c r="AE51" s="6" t="s">
        <v>75</v>
      </c>
      <c r="AF51" s="6" t="s">
        <v>75</v>
      </c>
      <c r="AG51" s="16" t="s">
        <v>75</v>
      </c>
      <c r="AH51" s="6" t="s">
        <v>75</v>
      </c>
      <c r="AI51" s="6" t="s">
        <v>75</v>
      </c>
      <c r="AJ51" s="6" t="s">
        <v>75</v>
      </c>
      <c r="AK51" s="6" t="s">
        <v>75</v>
      </c>
      <c r="AL51" s="6" t="s">
        <v>75</v>
      </c>
      <c r="AM51" s="6" t="s">
        <v>75</v>
      </c>
      <c r="AN51" s="6" t="s">
        <v>75</v>
      </c>
      <c r="AO51" s="6" t="s">
        <v>75</v>
      </c>
      <c r="AP51" s="6" t="s">
        <v>75</v>
      </c>
      <c r="AQ51" s="6" t="s">
        <v>75</v>
      </c>
      <c r="AR51" s="6" t="s">
        <v>76</v>
      </c>
      <c r="AS51" s="27" t="s">
        <v>482</v>
      </c>
      <c r="AT51" s="301"/>
      <c r="AU51" s="13" t="s">
        <v>706</v>
      </c>
      <c r="AV51" s="13"/>
      <c r="AW51" s="13"/>
      <c r="AX51" s="13"/>
      <c r="AY51" s="91" t="s">
        <v>81</v>
      </c>
      <c r="AZ51" s="91" t="s">
        <v>707</v>
      </c>
      <c r="BA51" s="91" t="s">
        <v>708</v>
      </c>
      <c r="BB51" s="91" t="s">
        <v>709</v>
      </c>
      <c r="BC51" s="91" t="s">
        <v>84</v>
      </c>
      <c r="BD51" s="91" t="s">
        <v>710</v>
      </c>
      <c r="BE51" s="319">
        <f>VLOOKUP(B51,'TEAMS_30-09-2021'!$D:$AG,30,FALSE)</f>
        <v>0</v>
      </c>
      <c r="BF51" s="320" t="str">
        <f>VLOOKUP(B51,'ENCUESTAS JUN-2021'!I:I,1,FALSE)</f>
        <v>Université de Lorraine - École des Mines de Nancy - Telecom Nancy</v>
      </c>
      <c r="BG51" s="63" t="str">
        <f>VLOOKUP(B51,'TEAMS_30-09-2021'!D:D,1,FALSE)</f>
        <v>Université de Lorraine - École des Mines de Nancy - Telecom Nancy</v>
      </c>
      <c r="BH51" s="13"/>
      <c r="BL51" s="19" t="e">
        <f t="shared" si="1"/>
        <v>#REF!</v>
      </c>
    </row>
    <row r="52" spans="1:64" s="19" customFormat="1" ht="20.100000000000001" hidden="1" customHeight="1">
      <c r="A52" s="357">
        <v>51</v>
      </c>
      <c r="B52" s="72" t="s">
        <v>711</v>
      </c>
      <c r="C52" s="252" t="s">
        <v>712</v>
      </c>
      <c r="D52" s="240" t="s">
        <v>713</v>
      </c>
      <c r="E52" s="26" t="s">
        <v>714</v>
      </c>
      <c r="F52" s="6" t="s">
        <v>462</v>
      </c>
      <c r="G52" s="6"/>
      <c r="H52" s="209" t="s">
        <v>715</v>
      </c>
      <c r="I52" s="216" t="s">
        <v>169</v>
      </c>
      <c r="J52" s="216" t="s">
        <v>139</v>
      </c>
      <c r="K52" s="209" t="s">
        <v>716</v>
      </c>
      <c r="L52" s="216" t="s">
        <v>193</v>
      </c>
      <c r="M52" s="216" t="s">
        <v>92</v>
      </c>
      <c r="N52" s="6" t="s">
        <v>69</v>
      </c>
      <c r="O52" s="6" t="s">
        <v>70</v>
      </c>
      <c r="P52" s="6"/>
      <c r="Q52" s="6"/>
      <c r="R52" s="6"/>
      <c r="S52" s="150" t="s">
        <v>194</v>
      </c>
      <c r="T52" s="6" t="s">
        <v>72</v>
      </c>
      <c r="U52" s="36">
        <v>1</v>
      </c>
      <c r="V52" s="36">
        <v>12</v>
      </c>
      <c r="W52" s="36" t="s">
        <v>717</v>
      </c>
      <c r="X52" s="36" t="s">
        <v>125</v>
      </c>
      <c r="Y52" s="6" t="s">
        <v>75</v>
      </c>
      <c r="Z52" s="6" t="s">
        <v>75</v>
      </c>
      <c r="AA52" s="6" t="s">
        <v>76</v>
      </c>
      <c r="AB52" s="6" t="s">
        <v>76</v>
      </c>
      <c r="AC52" s="6" t="s">
        <v>75</v>
      </c>
      <c r="AD52" s="6" t="str">
        <f>_xlfn.TEXTJOIN("/",TRUE,IF(OfertaPlazas[[#This Row],[GITST]]="SI","GITST",""),IF(OfertaPlazas[[#This Row],[GIB]]="SI","GIB",""),IF(OfertaPlazas[[#This Row],[GISD]]="SI","GISD",""),IF(OfertaPlazas[[#This Row],[MASTER]]="SI","MASTER",""))</f>
        <v>GITST/MASTER</v>
      </c>
      <c r="AE52" s="6" t="s">
        <v>75</v>
      </c>
      <c r="AF52" s="6" t="s">
        <v>75</v>
      </c>
      <c r="AG52" s="16" t="s">
        <v>75</v>
      </c>
      <c r="AH52" s="6" t="s">
        <v>75</v>
      </c>
      <c r="AI52" s="6" t="s">
        <v>75</v>
      </c>
      <c r="AJ52" s="6" t="s">
        <v>75</v>
      </c>
      <c r="AK52" s="6" t="s">
        <v>75</v>
      </c>
      <c r="AL52" s="6" t="s">
        <v>75</v>
      </c>
      <c r="AM52" s="6" t="s">
        <v>75</v>
      </c>
      <c r="AN52" s="6" t="s">
        <v>76</v>
      </c>
      <c r="AO52" s="6" t="s">
        <v>75</v>
      </c>
      <c r="AP52" s="6" t="s">
        <v>75</v>
      </c>
      <c r="AQ52" s="6" t="s">
        <v>75</v>
      </c>
      <c r="AR52" s="6" t="s">
        <v>76</v>
      </c>
      <c r="AS52" s="27" t="s">
        <v>482</v>
      </c>
      <c r="AT52" s="301"/>
      <c r="AU52" s="13" t="s">
        <v>718</v>
      </c>
      <c r="AV52" s="13"/>
      <c r="AW52" s="13"/>
      <c r="AX52" s="13"/>
      <c r="AY52" s="92" t="s">
        <v>81</v>
      </c>
      <c r="AZ52" s="92" t="s">
        <v>719</v>
      </c>
      <c r="BA52" s="92" t="s">
        <v>130</v>
      </c>
      <c r="BB52" s="92" t="s">
        <v>720</v>
      </c>
      <c r="BC52" s="92" t="s">
        <v>721</v>
      </c>
      <c r="BD52" s="92"/>
      <c r="BE52" s="319">
        <f>VLOOKUP(B52,'TEAMS_30-09-2021'!$D:$AG,30,FALSE)</f>
        <v>0</v>
      </c>
      <c r="BF52" s="319" t="e">
        <f>VLOOKUP(B52,'ENCUESTAS JUN-2021'!I:I,1,FALSE)</f>
        <v>#N/A</v>
      </c>
      <c r="BG52" s="63" t="str">
        <f>VLOOKUP(B52,'TEAMS_30-09-2021'!D:D,1,FALSE)</f>
        <v xml:space="preserve">Université de Nantes - Polytech Nantes </v>
      </c>
      <c r="BH52" s="13"/>
      <c r="BL52" s="19" t="e">
        <f t="shared" si="1"/>
        <v>#REF!</v>
      </c>
    </row>
    <row r="53" spans="1:64" s="19" customFormat="1" ht="20.100000000000001" hidden="1" customHeight="1">
      <c r="A53" s="357">
        <v>52</v>
      </c>
      <c r="B53" s="72" t="s">
        <v>722</v>
      </c>
      <c r="C53" s="252" t="s">
        <v>723</v>
      </c>
      <c r="D53" s="63" t="s">
        <v>713</v>
      </c>
      <c r="E53" s="54" t="s">
        <v>724</v>
      </c>
      <c r="F53" s="6" t="s">
        <v>462</v>
      </c>
      <c r="G53" s="36" t="s">
        <v>577</v>
      </c>
      <c r="H53" s="209" t="s">
        <v>542</v>
      </c>
      <c r="I53" s="216" t="s">
        <v>104</v>
      </c>
      <c r="J53" s="216" t="s">
        <v>139</v>
      </c>
      <c r="K53" s="209" t="s">
        <v>725</v>
      </c>
      <c r="L53" s="216" t="s">
        <v>141</v>
      </c>
      <c r="M53" s="306" t="s">
        <v>142</v>
      </c>
      <c r="N53" s="6" t="s">
        <v>69</v>
      </c>
      <c r="O53" s="6"/>
      <c r="P53" s="6" t="s">
        <v>70</v>
      </c>
      <c r="Q53" s="6"/>
      <c r="R53" s="6" t="s">
        <v>70</v>
      </c>
      <c r="S53" s="150" t="s">
        <v>123</v>
      </c>
      <c r="T53" s="6" t="s">
        <v>72</v>
      </c>
      <c r="U53" s="36">
        <v>1</v>
      </c>
      <c r="V53" s="36">
        <v>12</v>
      </c>
      <c r="W53" s="36" t="s">
        <v>726</v>
      </c>
      <c r="X53" s="36" t="s">
        <v>727</v>
      </c>
      <c r="Y53" s="6" t="s">
        <v>75</v>
      </c>
      <c r="Z53" s="6" t="s">
        <v>75</v>
      </c>
      <c r="AA53" s="6" t="s">
        <v>75</v>
      </c>
      <c r="AB53" s="6" t="s">
        <v>76</v>
      </c>
      <c r="AC53" s="6" t="s">
        <v>75</v>
      </c>
      <c r="AD53" s="6" t="str">
        <f>_xlfn.TEXTJOIN("/",TRUE,IF(OfertaPlazas[[#This Row],[GITST]]="SI","GITST",""),IF(OfertaPlazas[[#This Row],[GIB]]="SI","GIB",""),IF(OfertaPlazas[[#This Row],[GISD]]="SI","GISD",""),IF(OfertaPlazas[[#This Row],[MASTER]]="SI","MASTER",""))</f>
        <v>GITST/GIB/MASTER</v>
      </c>
      <c r="AE53" s="6" t="s">
        <v>75</v>
      </c>
      <c r="AF53" s="6" t="s">
        <v>75</v>
      </c>
      <c r="AG53" s="16" t="s">
        <v>75</v>
      </c>
      <c r="AH53" s="16" t="s">
        <v>75</v>
      </c>
      <c r="AI53" s="16" t="s">
        <v>75</v>
      </c>
      <c r="AJ53" s="16" t="s">
        <v>75</v>
      </c>
      <c r="AK53" s="16" t="s">
        <v>75</v>
      </c>
      <c r="AL53" s="16" t="s">
        <v>75</v>
      </c>
      <c r="AM53" s="16" t="s">
        <v>75</v>
      </c>
      <c r="AN53" s="16" t="s">
        <v>75</v>
      </c>
      <c r="AO53" s="6" t="s">
        <v>75</v>
      </c>
      <c r="AP53" s="16" t="s">
        <v>75</v>
      </c>
      <c r="AQ53" s="6" t="s">
        <v>75</v>
      </c>
      <c r="AR53" s="6" t="s">
        <v>75</v>
      </c>
      <c r="AS53" s="185" t="s">
        <v>145</v>
      </c>
      <c r="AT53" s="301"/>
      <c r="AU53" s="13" t="s">
        <v>728</v>
      </c>
      <c r="AV53" s="13" t="s">
        <v>729</v>
      </c>
      <c r="AW53" s="13"/>
      <c r="AX53" s="13"/>
      <c r="AY53" s="92" t="s">
        <v>129</v>
      </c>
      <c r="AZ53" s="92" t="s">
        <v>730</v>
      </c>
      <c r="BA53" s="92"/>
      <c r="BB53" s="92"/>
      <c r="BC53" s="92" t="s">
        <v>731</v>
      </c>
      <c r="BD53" s="92"/>
      <c r="BE53" s="319" t="e">
        <f>VLOOKUP(B53,'TEAMS_30-09-2021'!$D:$AG,30,FALSE)</f>
        <v>#N/A</v>
      </c>
      <c r="BF53" s="319" t="e">
        <f>VLOOKUP(B53,'ENCUESTAS JUN-2021'!I:I,1,FALSE)</f>
        <v>#N/A</v>
      </c>
      <c r="BG53" s="63" t="e">
        <f>VLOOKUP(B53,'TEAMS_30-09-2021'!D:D,1,FALSE)</f>
        <v>#N/A</v>
      </c>
      <c r="BH53" s="13"/>
      <c r="BL53" s="19" t="e">
        <f t="shared" si="1"/>
        <v>#REF!</v>
      </c>
    </row>
    <row r="54" spans="1:64" s="19" customFormat="1" ht="20.100000000000001" hidden="1" customHeight="1">
      <c r="A54" s="357">
        <v>53</v>
      </c>
      <c r="B54" s="13" t="s">
        <v>732</v>
      </c>
      <c r="C54" s="252" t="s">
        <v>732</v>
      </c>
      <c r="D54" s="63" t="s">
        <v>733</v>
      </c>
      <c r="E54" s="54" t="s">
        <v>734</v>
      </c>
      <c r="F54" s="6" t="s">
        <v>462</v>
      </c>
      <c r="G54" s="6"/>
      <c r="H54" s="209" t="s">
        <v>542</v>
      </c>
      <c r="I54" s="216" t="s">
        <v>139</v>
      </c>
      <c r="J54" s="216" t="s">
        <v>139</v>
      </c>
      <c r="K54" s="209" t="s">
        <v>91</v>
      </c>
      <c r="L54" s="216" t="s">
        <v>68</v>
      </c>
      <c r="M54" s="216" t="s">
        <v>92</v>
      </c>
      <c r="N54" s="6" t="s">
        <v>69</v>
      </c>
      <c r="O54" s="6"/>
      <c r="P54" s="6" t="s">
        <v>70</v>
      </c>
      <c r="Q54" s="6"/>
      <c r="R54" s="6"/>
      <c r="S54" s="150" t="s">
        <v>194</v>
      </c>
      <c r="T54" s="6" t="s">
        <v>72</v>
      </c>
      <c r="U54" s="36">
        <v>5</v>
      </c>
      <c r="V54" s="36">
        <v>12</v>
      </c>
      <c r="W54" s="36" t="s">
        <v>735</v>
      </c>
      <c r="X54" s="36" t="s">
        <v>736</v>
      </c>
      <c r="Y54" s="6" t="s">
        <v>75</v>
      </c>
      <c r="Z54" s="6" t="s">
        <v>75</v>
      </c>
      <c r="AA54" s="6" t="s">
        <v>76</v>
      </c>
      <c r="AB54" s="6" t="s">
        <v>76</v>
      </c>
      <c r="AC54" s="6" t="s">
        <v>75</v>
      </c>
      <c r="AD54" s="6" t="str">
        <f>_xlfn.TEXTJOIN("/",TRUE,IF(OfertaPlazas[[#This Row],[GITST]]="SI","GITST",""),IF(OfertaPlazas[[#This Row],[GIB]]="SI","GIB",""),IF(OfertaPlazas[[#This Row],[GISD]]="SI","GISD",""),IF(OfertaPlazas[[#This Row],[MASTER]]="SI","MASTER",""))</f>
        <v>GITST/MASTER</v>
      </c>
      <c r="AE54" s="16" t="s">
        <v>75</v>
      </c>
      <c r="AF54" s="16" t="s">
        <v>75</v>
      </c>
      <c r="AG54" s="16" t="s">
        <v>75</v>
      </c>
      <c r="AH54" s="16" t="s">
        <v>75</v>
      </c>
      <c r="AI54" s="16" t="s">
        <v>75</v>
      </c>
      <c r="AJ54" s="16" t="s">
        <v>76</v>
      </c>
      <c r="AK54" s="16" t="s">
        <v>76</v>
      </c>
      <c r="AL54" s="16" t="s">
        <v>75</v>
      </c>
      <c r="AM54" s="16" t="s">
        <v>76</v>
      </c>
      <c r="AN54" s="16" t="s">
        <v>76</v>
      </c>
      <c r="AO54" s="6" t="s">
        <v>75</v>
      </c>
      <c r="AP54" s="6" t="s">
        <v>75</v>
      </c>
      <c r="AQ54" s="6" t="s">
        <v>75</v>
      </c>
      <c r="AR54" s="6" t="s">
        <v>76</v>
      </c>
      <c r="AS54" s="330" t="s">
        <v>737</v>
      </c>
      <c r="AT54" s="301"/>
      <c r="AU54" s="13"/>
      <c r="AV54" s="13"/>
      <c r="AW54" s="13"/>
      <c r="AX54" s="13"/>
      <c r="AY54" s="92" t="s">
        <v>738</v>
      </c>
      <c r="AZ54" s="92"/>
      <c r="BA54" s="92"/>
      <c r="BB54" s="92"/>
      <c r="BC54" s="92"/>
      <c r="BD54" s="92"/>
      <c r="BE54" s="319">
        <f>VLOOKUP(B54,'TEAMS_30-09-2021'!$D:$AG,30,FALSE)</f>
        <v>0</v>
      </c>
      <c r="BF54" s="319" t="e">
        <f>VLOOKUP(B54,'ENCUESTAS JUN-2021'!I:I,1,FALSE)</f>
        <v>#N/A</v>
      </c>
      <c r="BG54" s="63" t="str">
        <f>VLOOKUP(B54,'TEAMS_30-09-2021'!D:D,1,FALSE)</f>
        <v>IMT Atlantique</v>
      </c>
      <c r="BH54" s="13"/>
      <c r="BL54" s="19" t="e">
        <f t="shared" si="1"/>
        <v>#REF!</v>
      </c>
    </row>
    <row r="55" spans="1:64" s="19" customFormat="1" ht="20.100000000000001" hidden="1" customHeight="1">
      <c r="A55" s="357">
        <v>54</v>
      </c>
      <c r="B55" s="72" t="s">
        <v>739</v>
      </c>
      <c r="C55" s="252" t="s">
        <v>740</v>
      </c>
      <c r="D55" s="63" t="s">
        <v>741</v>
      </c>
      <c r="E55" s="6" t="s">
        <v>742</v>
      </c>
      <c r="F55" s="6" t="s">
        <v>462</v>
      </c>
      <c r="G55" s="6"/>
      <c r="H55" s="209" t="s">
        <v>505</v>
      </c>
      <c r="I55" s="216" t="s">
        <v>139</v>
      </c>
      <c r="J55" s="216" t="s">
        <v>139</v>
      </c>
      <c r="K55" s="209" t="s">
        <v>170</v>
      </c>
      <c r="L55" s="216" t="s">
        <v>106</v>
      </c>
      <c r="M55" s="216"/>
      <c r="N55" s="6" t="s">
        <v>69</v>
      </c>
      <c r="O55" s="6"/>
      <c r="P55" s="6" t="s">
        <v>70</v>
      </c>
      <c r="Q55" s="6"/>
      <c r="R55" s="6"/>
      <c r="S55" s="150" t="s">
        <v>194</v>
      </c>
      <c r="T55" s="6" t="s">
        <v>72</v>
      </c>
      <c r="U55" s="36">
        <v>2</v>
      </c>
      <c r="V55" s="36">
        <v>12</v>
      </c>
      <c r="W55" s="36" t="s">
        <v>743</v>
      </c>
      <c r="X55" s="36" t="s">
        <v>744</v>
      </c>
      <c r="Y55" s="6" t="s">
        <v>75</v>
      </c>
      <c r="Z55" s="6" t="s">
        <v>75</v>
      </c>
      <c r="AA55" s="6" t="s">
        <v>76</v>
      </c>
      <c r="AB55" s="6" t="s">
        <v>76</v>
      </c>
      <c r="AC55" s="6" t="s">
        <v>75</v>
      </c>
      <c r="AD55" s="6" t="str">
        <f>_xlfn.TEXTJOIN("/",TRUE,IF(OfertaPlazas[[#This Row],[GITST]]="SI","GITST",""),IF(OfertaPlazas[[#This Row],[GIB]]="SI","GIB",""),IF(OfertaPlazas[[#This Row],[GISD]]="SI","GISD",""),IF(OfertaPlazas[[#This Row],[MASTER]]="SI","MASTER",""))</f>
        <v>GITST/MASTER</v>
      </c>
      <c r="AE55" s="6" t="s">
        <v>75</v>
      </c>
      <c r="AF55" s="6" t="s">
        <v>75</v>
      </c>
      <c r="AG55" s="16" t="s">
        <v>75</v>
      </c>
      <c r="AH55" s="16" t="s">
        <v>75</v>
      </c>
      <c r="AI55" s="16" t="s">
        <v>75</v>
      </c>
      <c r="AJ55" s="16" t="s">
        <v>75</v>
      </c>
      <c r="AK55" s="16" t="s">
        <v>75</v>
      </c>
      <c r="AL55" s="16" t="s">
        <v>75</v>
      </c>
      <c r="AM55" s="16" t="s">
        <v>75</v>
      </c>
      <c r="AN55" s="16" t="s">
        <v>75</v>
      </c>
      <c r="AO55" s="6" t="s">
        <v>75</v>
      </c>
      <c r="AP55" s="6" t="s">
        <v>75</v>
      </c>
      <c r="AQ55" s="6" t="s">
        <v>75</v>
      </c>
      <c r="AR55" s="6" t="s">
        <v>76</v>
      </c>
      <c r="AS55" s="185" t="s">
        <v>745</v>
      </c>
      <c r="AT55" s="301"/>
      <c r="AU55" s="13"/>
      <c r="AV55" s="13" t="s">
        <v>746</v>
      </c>
      <c r="AW55" s="13"/>
      <c r="AX55" s="13"/>
      <c r="AY55" s="92" t="s">
        <v>129</v>
      </c>
      <c r="AZ55" s="92" t="s">
        <v>747</v>
      </c>
      <c r="BA55" s="92"/>
      <c r="BB55" s="92"/>
      <c r="BC55" s="92" t="s">
        <v>748</v>
      </c>
      <c r="BD55" s="92"/>
      <c r="BE55" s="319">
        <f>VLOOKUP(B55,'TEAMS_30-09-2021'!$D:$AG,30,FALSE)</f>
        <v>0</v>
      </c>
      <c r="BF55" s="320" t="str">
        <f>VLOOKUP(B55,'ENCUESTAS JUN-2021'!I:I,1,FALSE)</f>
        <v>Institut d'Optique Théorique et Appliquée</v>
      </c>
      <c r="BG55" s="63" t="str">
        <f>VLOOKUP(B55,'TEAMS_30-09-2021'!D:D,1,FALSE)</f>
        <v>Institut d'Optique Théorique et Appliquée</v>
      </c>
      <c r="BH55" s="13"/>
      <c r="BL55" s="19" t="e">
        <f t="shared" si="1"/>
        <v>#REF!</v>
      </c>
    </row>
    <row r="56" spans="1:64" s="19" customFormat="1" ht="19.5" hidden="1" customHeight="1">
      <c r="A56" s="357">
        <v>55</v>
      </c>
      <c r="B56" s="13" t="s">
        <v>749</v>
      </c>
      <c r="C56" s="252" t="s">
        <v>750</v>
      </c>
      <c r="D56" s="63" t="s">
        <v>474</v>
      </c>
      <c r="E56" s="6" t="s">
        <v>751</v>
      </c>
      <c r="F56" s="6" t="s">
        <v>462</v>
      </c>
      <c r="G56" s="36" t="s">
        <v>614</v>
      </c>
      <c r="H56" s="209" t="s">
        <v>752</v>
      </c>
      <c r="I56" s="216" t="s">
        <v>153</v>
      </c>
      <c r="J56" s="216" t="s">
        <v>153</v>
      </c>
      <c r="K56" s="209" t="s">
        <v>753</v>
      </c>
      <c r="L56" s="216" t="s">
        <v>193</v>
      </c>
      <c r="M56" s="216"/>
      <c r="N56" s="6" t="s">
        <v>69</v>
      </c>
      <c r="O56" s="6"/>
      <c r="P56" s="6" t="s">
        <v>70</v>
      </c>
      <c r="Q56" s="6"/>
      <c r="R56" s="6"/>
      <c r="S56" s="150" t="s">
        <v>194</v>
      </c>
      <c r="T56" s="6" t="s">
        <v>72</v>
      </c>
      <c r="U56" s="36">
        <v>3</v>
      </c>
      <c r="V56" s="36">
        <v>12</v>
      </c>
      <c r="W56" s="36" t="s">
        <v>754</v>
      </c>
      <c r="X56" s="36" t="s">
        <v>755</v>
      </c>
      <c r="Y56" s="6" t="s">
        <v>75</v>
      </c>
      <c r="Z56" s="6" t="s">
        <v>75</v>
      </c>
      <c r="AA56" s="6" t="s">
        <v>76</v>
      </c>
      <c r="AB56" s="6" t="s">
        <v>76</v>
      </c>
      <c r="AC56" s="6" t="s">
        <v>75</v>
      </c>
      <c r="AD56" s="6" t="str">
        <f>_xlfn.TEXTJOIN("/",TRUE,IF(OfertaPlazas[[#This Row],[GITST]]="SI","GITST",""),IF(OfertaPlazas[[#This Row],[GIB]]="SI","GIB",""),IF(OfertaPlazas[[#This Row],[GISD]]="SI","GISD",""),IF(OfertaPlazas[[#This Row],[MASTER]]="SI","MASTER",""))</f>
        <v>GITST/MASTER</v>
      </c>
      <c r="AE56" s="6" t="s">
        <v>75</v>
      </c>
      <c r="AF56" s="6" t="s">
        <v>75</v>
      </c>
      <c r="AG56" s="16" t="s">
        <v>75</v>
      </c>
      <c r="AH56" s="6" t="s">
        <v>75</v>
      </c>
      <c r="AI56" s="6" t="s">
        <v>75</v>
      </c>
      <c r="AJ56" s="6" t="s">
        <v>75</v>
      </c>
      <c r="AK56" s="6" t="s">
        <v>75</v>
      </c>
      <c r="AL56" s="6" t="s">
        <v>75</v>
      </c>
      <c r="AM56" s="6" t="s">
        <v>75</v>
      </c>
      <c r="AN56" s="6" t="s">
        <v>75</v>
      </c>
      <c r="AO56" s="6" t="s">
        <v>75</v>
      </c>
      <c r="AP56" s="6" t="s">
        <v>75</v>
      </c>
      <c r="AQ56" s="6" t="s">
        <v>75</v>
      </c>
      <c r="AR56" s="6" t="s">
        <v>75</v>
      </c>
      <c r="AS56" s="27" t="s">
        <v>756</v>
      </c>
      <c r="AT56" s="301"/>
      <c r="AU56" s="13" t="s">
        <v>757</v>
      </c>
      <c r="AV56" s="13" t="s">
        <v>758</v>
      </c>
      <c r="AW56" s="13"/>
      <c r="AX56" s="13"/>
      <c r="AY56" s="92" t="s">
        <v>129</v>
      </c>
      <c r="AZ56" s="92" t="s">
        <v>759</v>
      </c>
      <c r="BA56" s="92"/>
      <c r="BB56" s="92"/>
      <c r="BC56" s="92" t="s">
        <v>721</v>
      </c>
      <c r="BD56" s="92"/>
      <c r="BE56" s="319">
        <f>VLOOKUP(B56,'TEAMS_30-09-2021'!$D:$AG,30,FALSE)</f>
        <v>0</v>
      </c>
      <c r="BF56" s="319" t="e">
        <f>VLOOKUP(B56,'ENCUESTAS JUN-2021'!I:I,1,FALSE)</f>
        <v>#N/A</v>
      </c>
      <c r="BG56" s="63" t="str">
        <f>VLOOKUP(B56,'TEAMS_30-09-2021'!D:D,1,FALSE)</f>
        <v>ENSTA Paris</v>
      </c>
      <c r="BH56" s="13"/>
      <c r="BL56" s="19" t="e">
        <f t="shared" si="1"/>
        <v>#REF!</v>
      </c>
    </row>
    <row r="57" spans="1:64" s="19" customFormat="1" ht="20.100000000000001" hidden="1" customHeight="1">
      <c r="A57" s="357">
        <v>56</v>
      </c>
      <c r="B57" s="13" t="s">
        <v>760</v>
      </c>
      <c r="C57" s="252" t="s">
        <v>761</v>
      </c>
      <c r="D57" s="63" t="s">
        <v>474</v>
      </c>
      <c r="E57" s="6" t="s">
        <v>762</v>
      </c>
      <c r="F57" s="6" t="s">
        <v>462</v>
      </c>
      <c r="G57" s="6"/>
      <c r="H57" s="266" t="s">
        <v>763</v>
      </c>
      <c r="I57" s="216" t="s">
        <v>153</v>
      </c>
      <c r="J57" s="216" t="s">
        <v>169</v>
      </c>
      <c r="K57" s="209" t="s">
        <v>764</v>
      </c>
      <c r="L57" s="216" t="s">
        <v>765</v>
      </c>
      <c r="M57" s="216" t="s">
        <v>766</v>
      </c>
      <c r="N57" s="6" t="s">
        <v>69</v>
      </c>
      <c r="O57" s="6"/>
      <c r="P57" s="6" t="s">
        <v>70</v>
      </c>
      <c r="Q57" s="6" t="s">
        <v>70</v>
      </c>
      <c r="R57" s="6"/>
      <c r="S57" s="150" t="s">
        <v>565</v>
      </c>
      <c r="T57" s="6" t="s">
        <v>72</v>
      </c>
      <c r="U57" s="36">
        <v>2</v>
      </c>
      <c r="V57" s="36">
        <v>12</v>
      </c>
      <c r="W57" s="379" t="s">
        <v>767</v>
      </c>
      <c r="X57" s="36" t="s">
        <v>768</v>
      </c>
      <c r="Y57" s="6" t="s">
        <v>75</v>
      </c>
      <c r="Z57" s="6" t="s">
        <v>75</v>
      </c>
      <c r="AA57" s="6" t="s">
        <v>76</v>
      </c>
      <c r="AB57" s="6" t="s">
        <v>75</v>
      </c>
      <c r="AC57" s="6" t="s">
        <v>75</v>
      </c>
      <c r="AD57" s="6" t="str">
        <f>_xlfn.TEXTJOIN("/",TRUE,IF(OfertaPlazas[[#This Row],[GITST]]="SI","GITST",""),IF(OfertaPlazas[[#This Row],[GIB]]="SI","GIB",""),IF(OfertaPlazas[[#This Row],[GISD]]="SI","GISD",""),IF(OfertaPlazas[[#This Row],[MASTER]]="SI","MASTER",""))</f>
        <v>GITST/GISD/MASTER</v>
      </c>
      <c r="AE57" s="16" t="s">
        <v>76</v>
      </c>
      <c r="AF57" s="16" t="s">
        <v>76</v>
      </c>
      <c r="AG57" s="16" t="s">
        <v>76</v>
      </c>
      <c r="AH57" s="16" t="s">
        <v>75</v>
      </c>
      <c r="AI57" s="16" t="s">
        <v>75</v>
      </c>
      <c r="AJ57" s="16" t="s">
        <v>75</v>
      </c>
      <c r="AK57" s="16" t="s">
        <v>75</v>
      </c>
      <c r="AL57" s="16" t="s">
        <v>75</v>
      </c>
      <c r="AM57" s="16" t="s">
        <v>75</v>
      </c>
      <c r="AN57" s="6" t="s">
        <v>75</v>
      </c>
      <c r="AO57" s="6" t="s">
        <v>75</v>
      </c>
      <c r="AP57" s="6" t="s">
        <v>75</v>
      </c>
      <c r="AQ57" s="6" t="s">
        <v>75</v>
      </c>
      <c r="AR57" s="6" t="s">
        <v>75</v>
      </c>
      <c r="AS57" s="27" t="s">
        <v>145</v>
      </c>
      <c r="AT57" s="301" t="s">
        <v>769</v>
      </c>
      <c r="AU57" s="13" t="s">
        <v>770</v>
      </c>
      <c r="AV57" s="13" t="s">
        <v>771</v>
      </c>
      <c r="AW57" s="13"/>
      <c r="AX57" s="13"/>
      <c r="AY57" s="92" t="s">
        <v>129</v>
      </c>
      <c r="AZ57" s="92" t="s">
        <v>772</v>
      </c>
      <c r="BA57" s="92"/>
      <c r="BB57" s="92"/>
      <c r="BC57" s="92" t="s">
        <v>731</v>
      </c>
      <c r="BD57" s="92"/>
      <c r="BE57" s="319" t="e">
        <f>VLOOKUP(B57,'TEAMS_30-09-2021'!$D:$AG,30,FALSE)</f>
        <v>#N/A</v>
      </c>
      <c r="BF57" s="319" t="e">
        <f>VLOOKUP(B57,'ENCUESTAS JUN-2021'!I:I,1,FALSE)</f>
        <v>#N/A</v>
      </c>
      <c r="BG57" s="63" t="e">
        <f>VLOOKUP(B57,'TEAMS_30-09-2021'!D:D,1,FALSE)</f>
        <v>#N/A</v>
      </c>
      <c r="BH57" s="54"/>
      <c r="BI57" s="1"/>
    </row>
    <row r="58" spans="1:64" s="19" customFormat="1" ht="20.100000000000001" hidden="1" customHeight="1">
      <c r="A58" s="357">
        <v>57</v>
      </c>
      <c r="B58" s="72" t="s">
        <v>773</v>
      </c>
      <c r="C58" s="252" t="s">
        <v>774</v>
      </c>
      <c r="D58" s="63" t="s">
        <v>474</v>
      </c>
      <c r="E58" s="6" t="s">
        <v>775</v>
      </c>
      <c r="F58" s="6" t="s">
        <v>462</v>
      </c>
      <c r="G58" s="36" t="s">
        <v>614</v>
      </c>
      <c r="H58" s="209" t="s">
        <v>190</v>
      </c>
      <c r="I58" s="216" t="s">
        <v>103</v>
      </c>
      <c r="J58" s="216" t="s">
        <v>153</v>
      </c>
      <c r="K58" s="209" t="s">
        <v>314</v>
      </c>
      <c r="L58" s="216" t="s">
        <v>68</v>
      </c>
      <c r="M58" s="216" t="s">
        <v>68</v>
      </c>
      <c r="N58" s="6" t="s">
        <v>69</v>
      </c>
      <c r="O58" s="6"/>
      <c r="P58" s="6" t="s">
        <v>70</v>
      </c>
      <c r="Q58" s="6" t="s">
        <v>70</v>
      </c>
      <c r="R58" s="6" t="s">
        <v>70</v>
      </c>
      <c r="S58" s="150" t="s">
        <v>776</v>
      </c>
      <c r="T58" s="6" t="s">
        <v>72</v>
      </c>
      <c r="U58" s="36">
        <v>3</v>
      </c>
      <c r="V58" s="36">
        <v>12</v>
      </c>
      <c r="W58" s="36" t="s">
        <v>777</v>
      </c>
      <c r="X58" s="36" t="s">
        <v>125</v>
      </c>
      <c r="Y58" s="6" t="s">
        <v>75</v>
      </c>
      <c r="Z58" s="6" t="s">
        <v>75</v>
      </c>
      <c r="AA58" s="6" t="s">
        <v>75</v>
      </c>
      <c r="AB58" s="6" t="s">
        <v>75</v>
      </c>
      <c r="AC58" s="6" t="s">
        <v>75</v>
      </c>
      <c r="AD58" s="6" t="str">
        <f>_xlfn.TEXTJOIN("/",TRUE,IF(OfertaPlazas[[#This Row],[GITST]]="SI","GITST",""),IF(OfertaPlazas[[#This Row],[GIB]]="SI","GIB",""),IF(OfertaPlazas[[#This Row],[GISD]]="SI","GISD",""),IF(OfertaPlazas[[#This Row],[MASTER]]="SI","MASTER",""))</f>
        <v>GITST/GIB/GISD/MASTER</v>
      </c>
      <c r="AE58" s="16" t="s">
        <v>76</v>
      </c>
      <c r="AF58" s="16" t="s">
        <v>76</v>
      </c>
      <c r="AG58" s="16" t="s">
        <v>76</v>
      </c>
      <c r="AH58" s="16" t="s">
        <v>75</v>
      </c>
      <c r="AI58" s="16" t="s">
        <v>75</v>
      </c>
      <c r="AJ58" s="16" t="s">
        <v>75</v>
      </c>
      <c r="AK58" s="16" t="s">
        <v>75</v>
      </c>
      <c r="AL58" s="16" t="s">
        <v>75</v>
      </c>
      <c r="AM58" s="16" t="s">
        <v>75</v>
      </c>
      <c r="AN58" s="16" t="s">
        <v>75</v>
      </c>
      <c r="AO58" s="6" t="s">
        <v>75</v>
      </c>
      <c r="AP58" s="6" t="s">
        <v>75</v>
      </c>
      <c r="AQ58" s="6" t="s">
        <v>75</v>
      </c>
      <c r="AR58" s="6" t="s">
        <v>75</v>
      </c>
      <c r="AS58" s="27" t="s">
        <v>778</v>
      </c>
      <c r="AT58" s="301" t="s">
        <v>779</v>
      </c>
      <c r="AU58" s="13" t="s">
        <v>780</v>
      </c>
      <c r="AV58" s="27" t="s">
        <v>781</v>
      </c>
      <c r="AW58" s="13"/>
      <c r="AX58" s="13"/>
      <c r="AY58" s="92" t="s">
        <v>129</v>
      </c>
      <c r="AZ58" s="92" t="s">
        <v>782</v>
      </c>
      <c r="BA58" s="92"/>
      <c r="BB58" s="92"/>
      <c r="BC58" s="92" t="s">
        <v>731</v>
      </c>
      <c r="BD58" s="92"/>
      <c r="BE58" s="319" t="str">
        <f>VLOOKUP(B58,'TEAMS_30-09-2021'!$D:$AG,30,FALSE)</f>
        <v>solicitan aumentar el nº de alumnos de 2 a 3. Estamos de acuerdo</v>
      </c>
      <c r="BF58" s="320" t="str">
        <f>VLOOKUP(B58,'ENCUESTAS JUN-2021'!I:I,1,FALSE)</f>
        <v>Telecom Paris</v>
      </c>
      <c r="BG58" s="63" t="str">
        <f>VLOOKUP(B58,'TEAMS_30-09-2021'!D:D,1,FALSE)</f>
        <v>Telecom Paris</v>
      </c>
      <c r="BH58" s="54"/>
      <c r="BI58" s="1"/>
    </row>
    <row r="59" spans="1:64" s="19" customFormat="1" ht="20.100000000000001" hidden="1" customHeight="1">
      <c r="A59" s="357">
        <v>58</v>
      </c>
      <c r="B59" s="13" t="s">
        <v>783</v>
      </c>
      <c r="C59" s="252" t="s">
        <v>784</v>
      </c>
      <c r="D59" s="63" t="s">
        <v>474</v>
      </c>
      <c r="E59" s="6" t="s">
        <v>785</v>
      </c>
      <c r="F59" s="6" t="s">
        <v>462</v>
      </c>
      <c r="G59" s="6"/>
      <c r="H59" s="209" t="s">
        <v>786</v>
      </c>
      <c r="I59" s="216" t="s">
        <v>104</v>
      </c>
      <c r="J59" s="216" t="s">
        <v>139</v>
      </c>
      <c r="K59" s="209" t="s">
        <v>787</v>
      </c>
      <c r="L59" s="216" t="s">
        <v>788</v>
      </c>
      <c r="M59" s="216" t="s">
        <v>443</v>
      </c>
      <c r="N59" s="6" t="s">
        <v>69</v>
      </c>
      <c r="O59" s="6"/>
      <c r="P59" s="6" t="s">
        <v>70</v>
      </c>
      <c r="Q59" s="6" t="s">
        <v>70</v>
      </c>
      <c r="R59" s="6" t="s">
        <v>70</v>
      </c>
      <c r="S59" s="150" t="s">
        <v>517</v>
      </c>
      <c r="T59" s="6" t="s">
        <v>72</v>
      </c>
      <c r="U59" s="36">
        <v>2</v>
      </c>
      <c r="V59" s="36">
        <v>10</v>
      </c>
      <c r="W59" s="36" t="s">
        <v>789</v>
      </c>
      <c r="X59" s="36" t="s">
        <v>790</v>
      </c>
      <c r="Y59" s="6" t="s">
        <v>75</v>
      </c>
      <c r="Z59" s="6" t="s">
        <v>75</v>
      </c>
      <c r="AA59" s="6" t="s">
        <v>75</v>
      </c>
      <c r="AB59" s="6" t="s">
        <v>75</v>
      </c>
      <c r="AC59" s="6" t="s">
        <v>75</v>
      </c>
      <c r="AD59" s="6" t="str">
        <f>_xlfn.TEXTJOIN("/",TRUE,IF(OfertaPlazas[[#This Row],[GITST]]="SI","GITST",""),IF(OfertaPlazas[[#This Row],[GIB]]="SI","GIB",""),IF(OfertaPlazas[[#This Row],[GISD]]="SI","GISD",""),IF(OfertaPlazas[[#This Row],[MASTER]]="SI","MASTER",""))</f>
        <v>GITST/GIB/GISD/MASTER</v>
      </c>
      <c r="AE59" s="6" t="s">
        <v>75</v>
      </c>
      <c r="AF59" s="6" t="s">
        <v>76</v>
      </c>
      <c r="AG59" s="6" t="s">
        <v>75</v>
      </c>
      <c r="AH59" s="6" t="s">
        <v>75</v>
      </c>
      <c r="AI59" s="6" t="s">
        <v>76</v>
      </c>
      <c r="AJ59" s="6" t="s">
        <v>75</v>
      </c>
      <c r="AK59" s="6" t="s">
        <v>76</v>
      </c>
      <c r="AL59" s="6" t="s">
        <v>75</v>
      </c>
      <c r="AM59" s="6" t="s">
        <v>75</v>
      </c>
      <c r="AN59" s="6" t="s">
        <v>76</v>
      </c>
      <c r="AO59" s="6" t="s">
        <v>75</v>
      </c>
      <c r="AP59" s="6" t="s">
        <v>75</v>
      </c>
      <c r="AQ59" s="6" t="s">
        <v>76</v>
      </c>
      <c r="AR59" s="6" t="s">
        <v>76</v>
      </c>
      <c r="AS59" s="27" t="s">
        <v>482</v>
      </c>
      <c r="AT59" s="301" t="s">
        <v>791</v>
      </c>
      <c r="AU59" s="259" t="s">
        <v>792</v>
      </c>
      <c r="AV59" s="71" t="s">
        <v>793</v>
      </c>
      <c r="AW59" s="13"/>
      <c r="AX59" s="13"/>
      <c r="AY59" s="91"/>
      <c r="AZ59" s="91"/>
      <c r="BA59" s="91"/>
      <c r="BB59" s="91"/>
      <c r="BC59" s="91"/>
      <c r="BD59" s="91"/>
      <c r="BE59" s="319"/>
      <c r="BF59" s="319"/>
      <c r="BG59" s="63"/>
      <c r="BH59" s="72"/>
      <c r="BI59" s="143"/>
    </row>
    <row r="60" spans="1:64" s="19" customFormat="1" ht="20.100000000000001" hidden="1" customHeight="1">
      <c r="A60" s="357">
        <v>59</v>
      </c>
      <c r="B60" s="13" t="s">
        <v>794</v>
      </c>
      <c r="C60" s="252" t="s">
        <v>794</v>
      </c>
      <c r="D60" s="63" t="s">
        <v>474</v>
      </c>
      <c r="E60" s="6" t="s">
        <v>795</v>
      </c>
      <c r="F60" s="6" t="s">
        <v>462</v>
      </c>
      <c r="G60" s="6"/>
      <c r="H60" s="209" t="s">
        <v>168</v>
      </c>
      <c r="I60" s="216" t="s">
        <v>169</v>
      </c>
      <c r="J60" s="216" t="s">
        <v>169</v>
      </c>
      <c r="K60" s="209" t="s">
        <v>505</v>
      </c>
      <c r="L60" s="216" t="s">
        <v>139</v>
      </c>
      <c r="M60" s="216"/>
      <c r="N60" s="6" t="s">
        <v>796</v>
      </c>
      <c r="O60" s="6"/>
      <c r="P60" s="6" t="s">
        <v>70</v>
      </c>
      <c r="Q60" s="6"/>
      <c r="R60" s="6" t="s">
        <v>70</v>
      </c>
      <c r="S60" s="150" t="s">
        <v>123</v>
      </c>
      <c r="T60" s="58" t="s">
        <v>72</v>
      </c>
      <c r="U60" s="36">
        <v>5</v>
      </c>
      <c r="V60" s="36">
        <v>6</v>
      </c>
      <c r="W60" s="36" t="s">
        <v>797</v>
      </c>
      <c r="X60" s="36" t="s">
        <v>798</v>
      </c>
      <c r="Y60" s="6" t="s">
        <v>75</v>
      </c>
      <c r="Z60" s="6" t="s">
        <v>75</v>
      </c>
      <c r="AA60" s="6" t="s">
        <v>75</v>
      </c>
      <c r="AB60" s="6" t="s">
        <v>76</v>
      </c>
      <c r="AC60" s="6" t="s">
        <v>75</v>
      </c>
      <c r="AD60" s="6" t="str">
        <f>_xlfn.TEXTJOIN("/",TRUE,IF(OfertaPlazas[[#This Row],[GITST]]="SI","GITST",""),IF(OfertaPlazas[[#This Row],[GIB]]="SI","GIB",""),IF(OfertaPlazas[[#This Row],[GISD]]="SI","GISD",""),IF(OfertaPlazas[[#This Row],[MASTER]]="SI","MASTER",""))</f>
        <v>GITST/GIB/MASTER</v>
      </c>
      <c r="AE60" s="16" t="s">
        <v>75</v>
      </c>
      <c r="AF60" s="16" t="s">
        <v>75</v>
      </c>
      <c r="AG60" s="16" t="s">
        <v>75</v>
      </c>
      <c r="AH60" s="16" t="s">
        <v>75</v>
      </c>
      <c r="AI60" s="16" t="s">
        <v>75</v>
      </c>
      <c r="AJ60" s="16" t="s">
        <v>75</v>
      </c>
      <c r="AK60" s="16" t="s">
        <v>75</v>
      </c>
      <c r="AL60" s="16" t="s">
        <v>75</v>
      </c>
      <c r="AM60" s="6" t="s">
        <v>75</v>
      </c>
      <c r="AN60" s="6" t="s">
        <v>75</v>
      </c>
      <c r="AO60" s="6" t="s">
        <v>75</v>
      </c>
      <c r="AP60" s="6" t="s">
        <v>75</v>
      </c>
      <c r="AQ60" s="6" t="s">
        <v>75</v>
      </c>
      <c r="AR60" s="6" t="s">
        <v>76</v>
      </c>
      <c r="AS60" s="301" t="s">
        <v>799</v>
      </c>
      <c r="AT60" s="301" t="s">
        <v>800</v>
      </c>
      <c r="AU60" s="13" t="s">
        <v>801</v>
      </c>
      <c r="AV60" s="13" t="s">
        <v>802</v>
      </c>
      <c r="AW60" s="13"/>
      <c r="AX60" s="13"/>
      <c r="AY60" s="92" t="s">
        <v>738</v>
      </c>
      <c r="AZ60" s="92"/>
      <c r="BA60" s="92"/>
      <c r="BB60" s="92"/>
      <c r="BC60" s="92"/>
      <c r="BD60" s="92"/>
      <c r="BE60" s="319">
        <f>VLOOKUP(B60,'TEAMS_30-09-2021'!$D:$AG,30,FALSE)</f>
        <v>0</v>
      </c>
      <c r="BF60" s="320" t="str">
        <f>VLOOKUP(B60,'ENCUESTAS JUN-2021'!I:I,1,FALSE)</f>
        <v>Sorbonne Université</v>
      </c>
      <c r="BG60" s="63" t="str">
        <f>VLOOKUP(B60,'TEAMS_30-09-2021'!D:D,1,FALSE)</f>
        <v>Sorbonne Université</v>
      </c>
      <c r="BH60" s="72"/>
      <c r="BI60" s="143"/>
    </row>
    <row r="61" spans="1:64" s="19" customFormat="1" ht="20.100000000000001" hidden="1" customHeight="1">
      <c r="A61" s="357">
        <v>60</v>
      </c>
      <c r="B61" s="71" t="s">
        <v>803</v>
      </c>
      <c r="C61" s="278" t="s">
        <v>804</v>
      </c>
      <c r="D61" s="221" t="s">
        <v>805</v>
      </c>
      <c r="E61" s="54" t="s">
        <v>806</v>
      </c>
      <c r="F61" s="6" t="s">
        <v>462</v>
      </c>
      <c r="G61" s="6"/>
      <c r="H61" s="209" t="s">
        <v>807</v>
      </c>
      <c r="I61" s="216" t="s">
        <v>808</v>
      </c>
      <c r="J61" s="216" t="s">
        <v>398</v>
      </c>
      <c r="K61" s="209" t="s">
        <v>809</v>
      </c>
      <c r="L61" s="216" t="s">
        <v>810</v>
      </c>
      <c r="M61" s="216" t="s">
        <v>92</v>
      </c>
      <c r="N61" s="54" t="s">
        <v>69</v>
      </c>
      <c r="O61" s="6"/>
      <c r="P61" s="6" t="s">
        <v>70</v>
      </c>
      <c r="Q61" s="6" t="s">
        <v>70</v>
      </c>
      <c r="R61" s="6" t="s">
        <v>70</v>
      </c>
      <c r="S61" s="150" t="s">
        <v>517</v>
      </c>
      <c r="T61" s="58" t="s">
        <v>72</v>
      </c>
      <c r="U61" s="36">
        <v>6</v>
      </c>
      <c r="V61" s="36">
        <v>10</v>
      </c>
      <c r="W61" s="36" t="s">
        <v>811</v>
      </c>
      <c r="X61" s="36" t="s">
        <v>812</v>
      </c>
      <c r="Y61" s="6" t="s">
        <v>75</v>
      </c>
      <c r="Z61" s="6" t="s">
        <v>75</v>
      </c>
      <c r="AA61" s="6" t="s">
        <v>75</v>
      </c>
      <c r="AB61" s="6" t="s">
        <v>75</v>
      </c>
      <c r="AC61" s="6" t="s">
        <v>75</v>
      </c>
      <c r="AD61" s="6" t="str">
        <f>_xlfn.TEXTJOIN("/",TRUE,IF(OfertaPlazas[[#This Row],[GITST]]="SI","GITST",""),IF(OfertaPlazas[[#This Row],[GIB]]="SI","GIB",""),IF(OfertaPlazas[[#This Row],[GISD]]="SI","GISD",""),IF(OfertaPlazas[[#This Row],[MASTER]]="SI","MASTER",""))</f>
        <v>GITST/GIB/GISD/MASTER</v>
      </c>
      <c r="AE61" s="16" t="s">
        <v>75</v>
      </c>
      <c r="AF61" s="16" t="s">
        <v>75</v>
      </c>
      <c r="AG61" s="16" t="s">
        <v>75</v>
      </c>
      <c r="AH61" s="16" t="s">
        <v>75</v>
      </c>
      <c r="AI61" s="16" t="s">
        <v>75</v>
      </c>
      <c r="AJ61" s="16" t="s">
        <v>75</v>
      </c>
      <c r="AK61" s="16" t="s">
        <v>75</v>
      </c>
      <c r="AL61" s="16" t="s">
        <v>75</v>
      </c>
      <c r="AM61" s="16" t="s">
        <v>75</v>
      </c>
      <c r="AN61" s="16" t="s">
        <v>75</v>
      </c>
      <c r="AO61" s="16" t="s">
        <v>75</v>
      </c>
      <c r="AP61" s="16" t="s">
        <v>75</v>
      </c>
      <c r="AQ61" s="16" t="s">
        <v>75</v>
      </c>
      <c r="AR61" s="6" t="s">
        <v>76</v>
      </c>
      <c r="AS61" s="27" t="s">
        <v>482</v>
      </c>
      <c r="AT61" s="301"/>
      <c r="AU61" s="13"/>
      <c r="AV61" s="13" t="s">
        <v>813</v>
      </c>
      <c r="AW61" s="13"/>
      <c r="AX61" s="13"/>
      <c r="AY61" s="92"/>
      <c r="AZ61" s="92"/>
      <c r="BA61" s="92"/>
      <c r="BB61" s="92"/>
      <c r="BC61" s="92"/>
      <c r="BD61" s="92"/>
      <c r="BE61" s="319"/>
      <c r="BF61" s="320"/>
      <c r="BG61" s="63"/>
      <c r="BH61" s="72"/>
      <c r="BI61" s="143"/>
    </row>
    <row r="62" spans="1:64" s="19" customFormat="1" ht="20.100000000000001" hidden="1" customHeight="1">
      <c r="A62" s="357">
        <v>61</v>
      </c>
      <c r="B62" s="13" t="s">
        <v>814</v>
      </c>
      <c r="C62" s="252" t="s">
        <v>815</v>
      </c>
      <c r="D62" s="63" t="s">
        <v>816</v>
      </c>
      <c r="E62" s="6" t="s">
        <v>817</v>
      </c>
      <c r="F62" s="6" t="s">
        <v>462</v>
      </c>
      <c r="G62" s="6"/>
      <c r="H62" s="209" t="s">
        <v>505</v>
      </c>
      <c r="I62" s="216" t="s">
        <v>139</v>
      </c>
      <c r="J62" s="216" t="s">
        <v>139</v>
      </c>
      <c r="K62" s="209" t="s">
        <v>818</v>
      </c>
      <c r="L62" s="216" t="s">
        <v>121</v>
      </c>
      <c r="M62" s="216"/>
      <c r="N62" s="6" t="s">
        <v>69</v>
      </c>
      <c r="O62" s="6"/>
      <c r="P62" s="6" t="s">
        <v>70</v>
      </c>
      <c r="Q62" s="6"/>
      <c r="R62" s="6"/>
      <c r="S62" s="150" t="s">
        <v>194</v>
      </c>
      <c r="T62" s="6" t="s">
        <v>72</v>
      </c>
      <c r="U62" s="36">
        <v>1</v>
      </c>
      <c r="V62" s="36">
        <v>12</v>
      </c>
      <c r="W62" s="36" t="s">
        <v>819</v>
      </c>
      <c r="X62" s="36" t="s">
        <v>820</v>
      </c>
      <c r="Y62" s="6" t="s">
        <v>75</v>
      </c>
      <c r="Z62" s="6" t="s">
        <v>75</v>
      </c>
      <c r="AA62" s="6" t="s">
        <v>76</v>
      </c>
      <c r="AB62" s="6" t="s">
        <v>76</v>
      </c>
      <c r="AC62" s="6" t="s">
        <v>75</v>
      </c>
      <c r="AD62" s="6" t="str">
        <f>_xlfn.TEXTJOIN("/",TRUE,IF(OfertaPlazas[[#This Row],[GITST]]="SI","GITST",""),IF(OfertaPlazas[[#This Row],[GIB]]="SI","GIB",""),IF(OfertaPlazas[[#This Row],[GISD]]="SI","GISD",""),IF(OfertaPlazas[[#This Row],[MASTER]]="SI","MASTER",""))</f>
        <v>GITST/MASTER</v>
      </c>
      <c r="AE62" s="6" t="s">
        <v>75</v>
      </c>
      <c r="AF62" s="6" t="s">
        <v>75</v>
      </c>
      <c r="AG62" s="6" t="s">
        <v>75</v>
      </c>
      <c r="AH62" s="6" t="s">
        <v>75</v>
      </c>
      <c r="AI62" s="6" t="s">
        <v>75</v>
      </c>
      <c r="AJ62" s="6" t="s">
        <v>76</v>
      </c>
      <c r="AK62" s="6" t="s">
        <v>76</v>
      </c>
      <c r="AL62" s="6" t="s">
        <v>76</v>
      </c>
      <c r="AM62" s="6" t="s">
        <v>76</v>
      </c>
      <c r="AN62" s="6" t="s">
        <v>75</v>
      </c>
      <c r="AO62" s="6" t="s">
        <v>75</v>
      </c>
      <c r="AP62" s="6" t="s">
        <v>76</v>
      </c>
      <c r="AQ62" s="6" t="s">
        <v>75</v>
      </c>
      <c r="AR62" s="6" t="s">
        <v>76</v>
      </c>
      <c r="AS62" s="27" t="s">
        <v>145</v>
      </c>
      <c r="AT62" s="301"/>
      <c r="AU62" s="27"/>
      <c r="AV62" s="351"/>
      <c r="AW62" s="351"/>
      <c r="AX62" s="13"/>
      <c r="AY62" s="92" t="s">
        <v>129</v>
      </c>
      <c r="AZ62" s="92" t="s">
        <v>821</v>
      </c>
      <c r="BA62" s="92"/>
      <c r="BB62" s="92"/>
      <c r="BC62" s="92" t="s">
        <v>721</v>
      </c>
      <c r="BD62" s="92"/>
      <c r="BE62" s="319">
        <f>VLOOKUP(B62,'TEAMS_30-09-2021'!$D:$AG,30,FALSE)</f>
        <v>0</v>
      </c>
      <c r="BF62" s="319" t="e">
        <f>VLOOKUP(B62,'ENCUESTAS JUN-2021'!I:I,1,FALSE)</f>
        <v>#N/A</v>
      </c>
      <c r="BG62" s="63" t="str">
        <f>VLOOKUP(B62,'TEAMS_30-09-2021'!D:D,1,FALSE)</f>
        <v>École Nationale d'Ingénieurs de Tarbes</v>
      </c>
      <c r="BH62" s="72"/>
      <c r="BI62" s="143"/>
    </row>
    <row r="63" spans="1:64" s="19" customFormat="1" ht="20.100000000000001" hidden="1" customHeight="1">
      <c r="A63" s="357">
        <v>62</v>
      </c>
      <c r="B63" s="13" t="s">
        <v>822</v>
      </c>
      <c r="C63" s="252" t="s">
        <v>823</v>
      </c>
      <c r="D63" s="63" t="s">
        <v>824</v>
      </c>
      <c r="E63" s="6" t="s">
        <v>825</v>
      </c>
      <c r="F63" s="6" t="s">
        <v>462</v>
      </c>
      <c r="G63" s="6"/>
      <c r="H63" s="209" t="s">
        <v>826</v>
      </c>
      <c r="I63" s="216" t="s">
        <v>827</v>
      </c>
      <c r="J63" s="216" t="s">
        <v>64</v>
      </c>
      <c r="K63" s="209" t="s">
        <v>828</v>
      </c>
      <c r="L63" s="216" t="s">
        <v>829</v>
      </c>
      <c r="M63" s="216" t="s">
        <v>582</v>
      </c>
      <c r="N63" s="6" t="s">
        <v>69</v>
      </c>
      <c r="O63" s="6" t="s">
        <v>70</v>
      </c>
      <c r="P63" s="6" t="s">
        <v>70</v>
      </c>
      <c r="Q63" s="6"/>
      <c r="R63" s="6"/>
      <c r="S63" s="150" t="s">
        <v>830</v>
      </c>
      <c r="T63" s="6" t="s">
        <v>72</v>
      </c>
      <c r="U63" s="36">
        <v>2</v>
      </c>
      <c r="V63" s="36">
        <v>12</v>
      </c>
      <c r="W63" s="36" t="s">
        <v>831</v>
      </c>
      <c r="X63" s="36" t="s">
        <v>125</v>
      </c>
      <c r="Y63" s="6" t="s">
        <v>75</v>
      </c>
      <c r="Z63" s="6" t="s">
        <v>75</v>
      </c>
      <c r="AA63" s="6" t="s">
        <v>76</v>
      </c>
      <c r="AB63" s="6" t="s">
        <v>76</v>
      </c>
      <c r="AC63" s="6" t="s">
        <v>75</v>
      </c>
      <c r="AD63" s="6" t="str">
        <f>_xlfn.TEXTJOIN("/",TRUE,IF(OfertaPlazas[[#This Row],[GITST]]="SI","GITST",""),IF(OfertaPlazas[[#This Row],[GIB]]="SI","GIB",""),IF(OfertaPlazas[[#This Row],[GISD]]="SI","GISD",""),IF(OfertaPlazas[[#This Row],[MASTER]]="SI","MASTER",""))</f>
        <v>GITST/MASTER</v>
      </c>
      <c r="AE63" s="6" t="s">
        <v>75</v>
      </c>
      <c r="AF63" s="6" t="s">
        <v>75</v>
      </c>
      <c r="AG63" s="16" t="s">
        <v>75</v>
      </c>
      <c r="AH63" s="6" t="s">
        <v>75</v>
      </c>
      <c r="AI63" s="6" t="s">
        <v>75</v>
      </c>
      <c r="AJ63" s="6" t="s">
        <v>75</v>
      </c>
      <c r="AK63" s="6" t="s">
        <v>75</v>
      </c>
      <c r="AL63" s="6" t="s">
        <v>75</v>
      </c>
      <c r="AM63" s="6" t="s">
        <v>75</v>
      </c>
      <c r="AN63" s="6" t="s">
        <v>75</v>
      </c>
      <c r="AO63" s="6" t="s">
        <v>75</v>
      </c>
      <c r="AP63" s="6" t="s">
        <v>75</v>
      </c>
      <c r="AQ63" s="6" t="s">
        <v>75</v>
      </c>
      <c r="AR63" s="6" t="s">
        <v>75</v>
      </c>
      <c r="AS63" s="185" t="s">
        <v>832</v>
      </c>
      <c r="AT63" s="301"/>
      <c r="AU63" s="13" t="s">
        <v>833</v>
      </c>
      <c r="AV63" s="13" t="s">
        <v>834</v>
      </c>
      <c r="AW63" s="13"/>
      <c r="AX63" s="13"/>
      <c r="AY63" s="92" t="s">
        <v>81</v>
      </c>
      <c r="AZ63" s="92" t="s">
        <v>719</v>
      </c>
      <c r="BA63" s="92" t="s">
        <v>835</v>
      </c>
      <c r="BB63" s="92" t="s">
        <v>836</v>
      </c>
      <c r="BC63" s="92" t="s">
        <v>731</v>
      </c>
      <c r="BD63" s="92"/>
      <c r="BE63" s="319">
        <f>VLOOKUP(B63,'TEAMS_30-09-2021'!$D:$AG,30,FALSE)</f>
        <v>0</v>
      </c>
      <c r="BF63" s="319" t="e">
        <f>VLOOKUP(B63,'ENCUESTAS JUN-2021'!I:I,1,FALSE)</f>
        <v>#N/A</v>
      </c>
      <c r="BG63" s="63" t="str">
        <f>VLOOKUP(B63,'TEAMS_30-09-2021'!D:D,1,FALSE)</f>
        <v>Institut National des Sciences Appliquées de Toulouse INSA Toulouse</v>
      </c>
      <c r="BH63" s="72"/>
      <c r="BI63" s="143"/>
    </row>
    <row r="64" spans="1:64" s="19" customFormat="1" ht="20.100000000000001" hidden="1" customHeight="1">
      <c r="A64" s="357">
        <v>63</v>
      </c>
      <c r="B64" s="13" t="s">
        <v>837</v>
      </c>
      <c r="C64" s="252" t="s">
        <v>838</v>
      </c>
      <c r="D64" s="63" t="s">
        <v>824</v>
      </c>
      <c r="E64" s="6" t="s">
        <v>839</v>
      </c>
      <c r="F64" s="6" t="s">
        <v>462</v>
      </c>
      <c r="G64" s="36" t="s">
        <v>614</v>
      </c>
      <c r="H64" s="209" t="s">
        <v>190</v>
      </c>
      <c r="I64" s="216" t="s">
        <v>103</v>
      </c>
      <c r="J64" s="216" t="s">
        <v>153</v>
      </c>
      <c r="K64" s="209" t="s">
        <v>840</v>
      </c>
      <c r="L64" s="216" t="s">
        <v>106</v>
      </c>
      <c r="M64" s="216" t="s">
        <v>141</v>
      </c>
      <c r="N64" s="6" t="s">
        <v>69</v>
      </c>
      <c r="O64" s="6"/>
      <c r="P64" s="6" t="s">
        <v>70</v>
      </c>
      <c r="Q64" s="6"/>
      <c r="R64" s="6"/>
      <c r="S64" s="150" t="s">
        <v>194</v>
      </c>
      <c r="T64" s="6" t="s">
        <v>72</v>
      </c>
      <c r="U64" s="36">
        <v>2</v>
      </c>
      <c r="V64" s="36">
        <v>12</v>
      </c>
      <c r="W64" s="36" t="s">
        <v>841</v>
      </c>
      <c r="X64" s="36" t="s">
        <v>125</v>
      </c>
      <c r="Y64" s="6" t="s">
        <v>75</v>
      </c>
      <c r="Z64" s="6" t="s">
        <v>75</v>
      </c>
      <c r="AA64" s="6" t="s">
        <v>76</v>
      </c>
      <c r="AB64" s="6" t="s">
        <v>76</v>
      </c>
      <c r="AC64" s="6" t="s">
        <v>75</v>
      </c>
      <c r="AD64" s="6" t="str">
        <f>_xlfn.TEXTJOIN("/",TRUE,IF(OfertaPlazas[[#This Row],[GITST]]="SI","GITST",""),IF(OfertaPlazas[[#This Row],[GIB]]="SI","GIB",""),IF(OfertaPlazas[[#This Row],[GISD]]="SI","GISD",""),IF(OfertaPlazas[[#This Row],[MASTER]]="SI","MASTER",""))</f>
        <v>GITST/MASTER</v>
      </c>
      <c r="AE64" s="6" t="s">
        <v>75</v>
      </c>
      <c r="AF64" s="6" t="s">
        <v>75</v>
      </c>
      <c r="AG64" s="16" t="s">
        <v>75</v>
      </c>
      <c r="AH64" s="6" t="s">
        <v>75</v>
      </c>
      <c r="AI64" s="6" t="s">
        <v>76</v>
      </c>
      <c r="AJ64" s="6" t="s">
        <v>75</v>
      </c>
      <c r="AK64" s="6" t="s">
        <v>76</v>
      </c>
      <c r="AL64" s="6" t="s">
        <v>75</v>
      </c>
      <c r="AM64" s="6" t="s">
        <v>75</v>
      </c>
      <c r="AN64" s="6" t="s">
        <v>75</v>
      </c>
      <c r="AO64" s="6" t="s">
        <v>75</v>
      </c>
      <c r="AP64" s="6" t="s">
        <v>75</v>
      </c>
      <c r="AQ64" s="6" t="s">
        <v>75</v>
      </c>
      <c r="AR64" s="6" t="s">
        <v>75</v>
      </c>
      <c r="AS64" s="27" t="s">
        <v>756</v>
      </c>
      <c r="AT64" s="301" t="s">
        <v>842</v>
      </c>
      <c r="AU64" s="13" t="s">
        <v>843</v>
      </c>
      <c r="AV64" s="13" t="s">
        <v>844</v>
      </c>
      <c r="AW64" s="13"/>
      <c r="AX64" s="13"/>
      <c r="AY64" s="92" t="s">
        <v>129</v>
      </c>
      <c r="AZ64" s="92" t="s">
        <v>845</v>
      </c>
      <c r="BA64" s="92"/>
      <c r="BB64" s="92"/>
      <c r="BC64" s="92" t="s">
        <v>731</v>
      </c>
      <c r="BD64" s="92"/>
      <c r="BE64" s="319" t="str">
        <f>VLOOKUP(B64,'TEAMS_30-09-2021'!$D:$AG,30,FALSE)</f>
        <v>ok</v>
      </c>
      <c r="BF64" s="320" t="str">
        <f>VLOOKUP(B64,'ENCUESTAS JUN-2021'!I:I,1,FALSE)</f>
        <v>ISAE-SUPAERO</v>
      </c>
      <c r="BG64" s="63" t="str">
        <f>VLOOKUP(B64,'TEAMS_30-09-2021'!D:D,1,FALSE)</f>
        <v>ISAE-SUPAERO</v>
      </c>
      <c r="BH64" s="72"/>
      <c r="BI64" s="143"/>
    </row>
    <row r="65" spans="1:64" s="19" customFormat="1" ht="20.100000000000001" hidden="1" customHeight="1">
      <c r="A65" s="357">
        <v>64</v>
      </c>
      <c r="B65" s="13" t="s">
        <v>846</v>
      </c>
      <c r="C65" s="252" t="s">
        <v>838</v>
      </c>
      <c r="D65" s="63" t="s">
        <v>824</v>
      </c>
      <c r="E65" s="290" t="s">
        <v>847</v>
      </c>
      <c r="F65" s="6" t="s">
        <v>462</v>
      </c>
      <c r="G65" s="6"/>
      <c r="H65" s="209" t="s">
        <v>848</v>
      </c>
      <c r="I65" s="216" t="s">
        <v>258</v>
      </c>
      <c r="J65" s="216" t="s">
        <v>258</v>
      </c>
      <c r="K65" s="209" t="s">
        <v>849</v>
      </c>
      <c r="L65" s="216" t="s">
        <v>258</v>
      </c>
      <c r="M65" s="216"/>
      <c r="N65" s="6" t="s">
        <v>69</v>
      </c>
      <c r="O65" s="6"/>
      <c r="P65" s="6" t="s">
        <v>70</v>
      </c>
      <c r="Q65" s="6"/>
      <c r="R65" s="6"/>
      <c r="S65" s="150" t="s">
        <v>194</v>
      </c>
      <c r="T65" s="6" t="s">
        <v>72</v>
      </c>
      <c r="U65" s="36">
        <v>1</v>
      </c>
      <c r="V65" s="36">
        <v>12</v>
      </c>
      <c r="W65" s="36" t="s">
        <v>850</v>
      </c>
      <c r="X65" s="36" t="s">
        <v>851</v>
      </c>
      <c r="Y65" s="6" t="s">
        <v>75</v>
      </c>
      <c r="Z65" s="6" t="s">
        <v>75</v>
      </c>
      <c r="AA65" s="6" t="s">
        <v>76</v>
      </c>
      <c r="AB65" s="6" t="s">
        <v>76</v>
      </c>
      <c r="AC65" s="6" t="s">
        <v>75</v>
      </c>
      <c r="AD65" s="6" t="str">
        <f>_xlfn.TEXTJOIN("/",TRUE,IF(OfertaPlazas[[#This Row],[GITST]]="SI","GITST",""),IF(OfertaPlazas[[#This Row],[GIB]]="SI","GIB",""),IF(OfertaPlazas[[#This Row],[GISD]]="SI","GISD",""),IF(OfertaPlazas[[#This Row],[MASTER]]="SI","MASTER",""))</f>
        <v>GITST/MASTER</v>
      </c>
      <c r="AE65" s="6" t="s">
        <v>75</v>
      </c>
      <c r="AF65" s="6" t="s">
        <v>75</v>
      </c>
      <c r="AG65" s="16" t="s">
        <v>75</v>
      </c>
      <c r="AH65" s="6" t="s">
        <v>75</v>
      </c>
      <c r="AI65" s="6" t="s">
        <v>75</v>
      </c>
      <c r="AJ65" s="6" t="s">
        <v>75</v>
      </c>
      <c r="AK65" s="6" t="s">
        <v>75</v>
      </c>
      <c r="AL65" s="6" t="s">
        <v>75</v>
      </c>
      <c r="AM65" s="6" t="s">
        <v>75</v>
      </c>
      <c r="AN65" s="6" t="s">
        <v>75</v>
      </c>
      <c r="AO65" s="6" t="s">
        <v>75</v>
      </c>
      <c r="AP65" s="6" t="s">
        <v>75</v>
      </c>
      <c r="AQ65" s="6" t="s">
        <v>75</v>
      </c>
      <c r="AR65" s="6" t="s">
        <v>76</v>
      </c>
      <c r="AS65" s="27" t="s">
        <v>756</v>
      </c>
      <c r="AT65" s="301"/>
      <c r="AU65" s="13"/>
      <c r="AV65" s="13"/>
      <c r="AW65" s="13"/>
      <c r="AX65" s="13"/>
      <c r="AY65" s="92" t="s">
        <v>129</v>
      </c>
      <c r="AZ65" s="92" t="s">
        <v>845</v>
      </c>
      <c r="BA65" s="92"/>
      <c r="BB65" s="92"/>
      <c r="BC65" s="92" t="s">
        <v>731</v>
      </c>
      <c r="BD65" s="92"/>
      <c r="BE65" s="319" t="str">
        <f>VLOOKUP(B65,'TEAMS_30-09-2021'!$D:$AG,30,FALSE)</f>
        <v>ok</v>
      </c>
      <c r="BF65" s="319" t="e">
        <f>VLOOKUP(B65,'ENCUESTAS JUN-2021'!I:I,1,FALSE)</f>
        <v>#N/A</v>
      </c>
      <c r="BG65" s="63" t="str">
        <f>VLOOKUP(B65,'TEAMS_30-09-2021'!D:D,1,FALSE)</f>
        <v>Ensica</v>
      </c>
      <c r="BH65" s="146"/>
      <c r="BI65" s="149"/>
    </row>
    <row r="66" spans="1:64" s="19" customFormat="1" ht="20.100000000000001" hidden="1" customHeight="1">
      <c r="A66" s="357">
        <v>65</v>
      </c>
      <c r="B66" s="13" t="s">
        <v>852</v>
      </c>
      <c r="C66" s="252" t="s">
        <v>853</v>
      </c>
      <c r="D66" s="63" t="s">
        <v>824</v>
      </c>
      <c r="E66" s="6" t="s">
        <v>854</v>
      </c>
      <c r="F66" s="6" t="s">
        <v>462</v>
      </c>
      <c r="G66" s="6"/>
      <c r="H66" s="209" t="s">
        <v>855</v>
      </c>
      <c r="I66" s="216" t="s">
        <v>856</v>
      </c>
      <c r="J66" s="216" t="s">
        <v>104</v>
      </c>
      <c r="K66" s="209" t="s">
        <v>857</v>
      </c>
      <c r="L66" s="216" t="s">
        <v>142</v>
      </c>
      <c r="M66" s="216" t="s">
        <v>92</v>
      </c>
      <c r="N66" s="6" t="s">
        <v>69</v>
      </c>
      <c r="O66" s="6"/>
      <c r="P66" s="6" t="s">
        <v>70</v>
      </c>
      <c r="Q66" s="6"/>
      <c r="R66" s="6"/>
      <c r="S66" s="150" t="s">
        <v>194</v>
      </c>
      <c r="T66" s="6" t="s">
        <v>72</v>
      </c>
      <c r="U66" s="36">
        <v>4</v>
      </c>
      <c r="V66" s="36">
        <v>12</v>
      </c>
      <c r="W66" s="36" t="s">
        <v>858</v>
      </c>
      <c r="X66" s="36" t="s">
        <v>859</v>
      </c>
      <c r="Y66" s="6" t="s">
        <v>75</v>
      </c>
      <c r="Z66" s="6" t="s">
        <v>75</v>
      </c>
      <c r="AA66" s="6" t="s">
        <v>76</v>
      </c>
      <c r="AB66" s="6" t="s">
        <v>76</v>
      </c>
      <c r="AC66" s="6" t="s">
        <v>75</v>
      </c>
      <c r="AD66" s="6" t="str">
        <f>_xlfn.TEXTJOIN("/",TRUE,IF(OfertaPlazas[[#This Row],[GITST]]="SI","GITST",""),IF(OfertaPlazas[[#This Row],[GIB]]="SI","GIB",""),IF(OfertaPlazas[[#This Row],[GISD]]="SI","GISD",""),IF(OfertaPlazas[[#This Row],[MASTER]]="SI","MASTER",""))</f>
        <v>GITST/MASTER</v>
      </c>
      <c r="AE66" s="6" t="s">
        <v>75</v>
      </c>
      <c r="AF66" s="6" t="s">
        <v>75</v>
      </c>
      <c r="AG66" s="16" t="s">
        <v>75</v>
      </c>
      <c r="AH66" s="6" t="s">
        <v>75</v>
      </c>
      <c r="AI66" s="6" t="s">
        <v>75</v>
      </c>
      <c r="AJ66" s="6" t="s">
        <v>75</v>
      </c>
      <c r="AK66" s="6" t="s">
        <v>75</v>
      </c>
      <c r="AL66" s="6" t="s">
        <v>75</v>
      </c>
      <c r="AM66" s="6" t="s">
        <v>75</v>
      </c>
      <c r="AN66" s="6" t="s">
        <v>75</v>
      </c>
      <c r="AO66" s="6" t="s">
        <v>75</v>
      </c>
      <c r="AP66" s="6" t="s">
        <v>75</v>
      </c>
      <c r="AQ66" s="6" t="s">
        <v>75</v>
      </c>
      <c r="AR66" s="6" t="s">
        <v>75</v>
      </c>
      <c r="AS66" s="27" t="s">
        <v>860</v>
      </c>
      <c r="AT66" s="301"/>
      <c r="AU66" s="13" t="s">
        <v>861</v>
      </c>
      <c r="AV66" s="27" t="s">
        <v>862</v>
      </c>
      <c r="AW66" s="13"/>
      <c r="AX66" s="13"/>
      <c r="AY66" s="92" t="s">
        <v>129</v>
      </c>
      <c r="AZ66" s="92" t="s">
        <v>863</v>
      </c>
      <c r="BA66" s="92"/>
      <c r="BB66" s="92"/>
      <c r="BC66" s="92" t="s">
        <v>731</v>
      </c>
      <c r="BD66" s="92"/>
      <c r="BE66" s="319">
        <f>VLOOKUP(B66,'TEAMS_30-09-2021'!$D:$AG,30,FALSE)</f>
        <v>0</v>
      </c>
      <c r="BF66" s="319" t="e">
        <f>VLOOKUP(B66,'ENCUESTAS JUN-2021'!I:I,1,FALSE)</f>
        <v>#N/A</v>
      </c>
      <c r="BG66" s="63" t="str">
        <f>VLOOKUP(B66,'TEAMS_30-09-2021'!D:D,1,FALSE)</f>
        <v>INPT Inst. Nat. Polytechnique de Toulouse ENSEEIHT</v>
      </c>
      <c r="BH66" s="146"/>
      <c r="BI66" s="149"/>
    </row>
    <row r="67" spans="1:64" s="19" customFormat="1" ht="20.100000000000001" hidden="1" customHeight="1">
      <c r="A67" s="357">
        <v>66</v>
      </c>
      <c r="B67" s="13" t="s">
        <v>864</v>
      </c>
      <c r="C67" s="252" t="s">
        <v>865</v>
      </c>
      <c r="D67" s="63" t="s">
        <v>866</v>
      </c>
      <c r="E67" s="6" t="s">
        <v>867</v>
      </c>
      <c r="F67" s="6" t="s">
        <v>462</v>
      </c>
      <c r="G67" s="6"/>
      <c r="H67" s="209" t="s">
        <v>181</v>
      </c>
      <c r="I67" s="216" t="s">
        <v>139</v>
      </c>
      <c r="J67" s="216" t="s">
        <v>118</v>
      </c>
      <c r="K67" s="209" t="s">
        <v>868</v>
      </c>
      <c r="L67" s="216" t="s">
        <v>92</v>
      </c>
      <c r="M67" s="216" t="s">
        <v>208</v>
      </c>
      <c r="N67" s="6" t="s">
        <v>69</v>
      </c>
      <c r="O67" s="6"/>
      <c r="P67" s="6" t="s">
        <v>70</v>
      </c>
      <c r="Q67" s="6" t="s">
        <v>70</v>
      </c>
      <c r="R67" s="6"/>
      <c r="S67" s="150" t="s">
        <v>565</v>
      </c>
      <c r="T67" s="6" t="s">
        <v>72</v>
      </c>
      <c r="U67" s="36">
        <v>2</v>
      </c>
      <c r="V67" s="36">
        <v>12</v>
      </c>
      <c r="W67" s="36" t="s">
        <v>869</v>
      </c>
      <c r="X67" s="36" t="s">
        <v>870</v>
      </c>
      <c r="Y67" s="6" t="s">
        <v>75</v>
      </c>
      <c r="Z67" s="6" t="s">
        <v>75</v>
      </c>
      <c r="AA67" s="6" t="s">
        <v>76</v>
      </c>
      <c r="AB67" s="6" t="s">
        <v>75</v>
      </c>
      <c r="AC67" s="16" t="s">
        <v>76</v>
      </c>
      <c r="AD67" s="6" t="str">
        <f>_xlfn.TEXTJOIN("/",TRUE,IF(OfertaPlazas[[#This Row],[GITST]]="SI","GITST",""),IF(OfertaPlazas[[#This Row],[GIB]]="SI","GIB",""),IF(OfertaPlazas[[#This Row],[GISD]]="SI","GISD",""),IF(OfertaPlazas[[#This Row],[MASTER]]="SI","MASTER",""))</f>
        <v>GITST/GISD</v>
      </c>
      <c r="AE67" s="16" t="s">
        <v>75</v>
      </c>
      <c r="AF67" s="16" t="s">
        <v>75</v>
      </c>
      <c r="AG67" s="16" t="s">
        <v>75</v>
      </c>
      <c r="AH67" s="16" t="s">
        <v>75</v>
      </c>
      <c r="AI67" s="16" t="s">
        <v>75</v>
      </c>
      <c r="AJ67" s="16" t="s">
        <v>75</v>
      </c>
      <c r="AK67" s="16" t="s">
        <v>75</v>
      </c>
      <c r="AL67" s="16" t="s">
        <v>75</v>
      </c>
      <c r="AM67" s="16" t="s">
        <v>75</v>
      </c>
      <c r="AN67" s="16" t="s">
        <v>75</v>
      </c>
      <c r="AO67" s="6" t="s">
        <v>76</v>
      </c>
      <c r="AP67" s="6" t="s">
        <v>76</v>
      </c>
      <c r="AQ67" s="6" t="s">
        <v>76</v>
      </c>
      <c r="AR67" s="6" t="s">
        <v>76</v>
      </c>
      <c r="AS67" s="27" t="s">
        <v>145</v>
      </c>
      <c r="AT67" s="301"/>
      <c r="AU67" s="259" t="s">
        <v>871</v>
      </c>
      <c r="AV67" s="13" t="s">
        <v>872</v>
      </c>
      <c r="AW67" s="13"/>
      <c r="AX67" s="13"/>
      <c r="AY67" s="92" t="s">
        <v>81</v>
      </c>
      <c r="AZ67" s="92" t="s">
        <v>873</v>
      </c>
      <c r="BA67" s="92" t="s">
        <v>835</v>
      </c>
      <c r="BB67" s="92" t="s">
        <v>874</v>
      </c>
      <c r="BC67" s="92" t="s">
        <v>748</v>
      </c>
      <c r="BD67" s="92"/>
      <c r="BE67" s="319" t="e">
        <f>VLOOKUP(B67,'TEAMS_30-09-2021'!$D:$AG,30,FALSE)</f>
        <v>#N/A</v>
      </c>
      <c r="BF67" s="319" t="e">
        <f>VLOOKUP(B67,'ENCUESTAS JUN-2021'!I:I,1,FALSE)</f>
        <v>#N/A</v>
      </c>
      <c r="BG67" s="63" t="e">
        <f>VLOOKUP(B67,'TEAMS_30-09-2021'!D:D,1,FALSE)</f>
        <v>#N/A</v>
      </c>
      <c r="BH67" s="5"/>
      <c r="BI67" s="64"/>
    </row>
    <row r="68" spans="1:64" s="19" customFormat="1" ht="20.100000000000001" hidden="1" customHeight="1">
      <c r="A68" s="357">
        <v>67</v>
      </c>
      <c r="B68" s="13" t="s">
        <v>875</v>
      </c>
      <c r="C68" s="252" t="s">
        <v>865</v>
      </c>
      <c r="D68" s="63" t="s">
        <v>866</v>
      </c>
      <c r="E68" s="6" t="s">
        <v>876</v>
      </c>
      <c r="F68" s="6" t="s">
        <v>462</v>
      </c>
      <c r="G68" s="6"/>
      <c r="H68" s="209" t="s">
        <v>181</v>
      </c>
      <c r="I68" s="216" t="s">
        <v>139</v>
      </c>
      <c r="J68" s="216" t="s">
        <v>118</v>
      </c>
      <c r="K68" s="209" t="s">
        <v>91</v>
      </c>
      <c r="L68" s="216" t="s">
        <v>68</v>
      </c>
      <c r="M68" s="216" t="s">
        <v>92</v>
      </c>
      <c r="N68" s="6" t="s">
        <v>69</v>
      </c>
      <c r="O68" s="6"/>
      <c r="P68" s="6" t="s">
        <v>70</v>
      </c>
      <c r="Q68" s="6" t="s">
        <v>70</v>
      </c>
      <c r="R68" s="6"/>
      <c r="S68" s="150" t="s">
        <v>565</v>
      </c>
      <c r="T68" s="6" t="s">
        <v>72</v>
      </c>
      <c r="U68" s="36">
        <v>2</v>
      </c>
      <c r="V68" s="36">
        <v>12</v>
      </c>
      <c r="W68" s="36" t="s">
        <v>869</v>
      </c>
      <c r="X68" s="36" t="s">
        <v>870</v>
      </c>
      <c r="Y68" s="6" t="s">
        <v>76</v>
      </c>
      <c r="Z68" s="6" t="s">
        <v>76</v>
      </c>
      <c r="AA68" s="6" t="s">
        <v>76</v>
      </c>
      <c r="AB68" s="6" t="s">
        <v>76</v>
      </c>
      <c r="AC68" s="6" t="s">
        <v>75</v>
      </c>
      <c r="AD68" s="6" t="str">
        <f>_xlfn.TEXTJOIN("/",TRUE,IF(OfertaPlazas[[#This Row],[GITST]]="SI","GITST",""),IF(OfertaPlazas[[#This Row],[GIB]]="SI","GIB",""),IF(OfertaPlazas[[#This Row],[GISD]]="SI","GISD",""),IF(OfertaPlazas[[#This Row],[MASTER]]="SI","MASTER",""))</f>
        <v>MASTER</v>
      </c>
      <c r="AE68" s="6" t="s">
        <v>76</v>
      </c>
      <c r="AF68" s="6" t="s">
        <v>76</v>
      </c>
      <c r="AG68" s="6" t="s">
        <v>76</v>
      </c>
      <c r="AH68" s="6" t="s">
        <v>76</v>
      </c>
      <c r="AI68" s="6" t="s">
        <v>76</v>
      </c>
      <c r="AJ68" s="6" t="s">
        <v>76</v>
      </c>
      <c r="AK68" s="6" t="s">
        <v>76</v>
      </c>
      <c r="AL68" s="6" t="s">
        <v>76</v>
      </c>
      <c r="AM68" s="6" t="s">
        <v>76</v>
      </c>
      <c r="AN68" s="6" t="s">
        <v>76</v>
      </c>
      <c r="AO68" s="6" t="s">
        <v>75</v>
      </c>
      <c r="AP68" s="6" t="s">
        <v>75</v>
      </c>
      <c r="AQ68" s="6" t="s">
        <v>75</v>
      </c>
      <c r="AR68" s="6" t="s">
        <v>76</v>
      </c>
      <c r="AS68" s="27" t="s">
        <v>145</v>
      </c>
      <c r="AT68" s="301"/>
      <c r="AU68" s="259" t="s">
        <v>877</v>
      </c>
      <c r="AV68" s="13" t="s">
        <v>878</v>
      </c>
      <c r="AW68" s="13"/>
      <c r="AX68" s="13"/>
      <c r="AY68" s="92"/>
      <c r="AZ68" s="92"/>
      <c r="BA68" s="92"/>
      <c r="BB68" s="92"/>
      <c r="BC68" s="92"/>
      <c r="BD68" s="92"/>
      <c r="BE68" s="319"/>
      <c r="BF68" s="319"/>
      <c r="BG68" s="63"/>
      <c r="BH68" s="13"/>
      <c r="BL68" s="19" t="e">
        <f t="shared" ref="BL68:BL115" si="2">VLOOKUP(E68,#REF!,1,FALSE)</f>
        <v>#REF!</v>
      </c>
    </row>
    <row r="69" spans="1:64" s="19" customFormat="1" ht="20.100000000000001" hidden="1" customHeight="1">
      <c r="A69" s="357">
        <v>68</v>
      </c>
      <c r="B69" s="293" t="s">
        <v>879</v>
      </c>
      <c r="C69" s="252" t="s">
        <v>880</v>
      </c>
      <c r="D69" s="245" t="s">
        <v>881</v>
      </c>
      <c r="E69" s="22" t="s">
        <v>882</v>
      </c>
      <c r="F69" s="6" t="s">
        <v>883</v>
      </c>
      <c r="G69" s="6"/>
      <c r="H69" s="209" t="s">
        <v>884</v>
      </c>
      <c r="I69" s="216" t="s">
        <v>118</v>
      </c>
      <c r="J69" s="216" t="s">
        <v>118</v>
      </c>
      <c r="K69" s="209"/>
      <c r="L69" s="216" t="s">
        <v>118</v>
      </c>
      <c r="M69" s="216"/>
      <c r="N69" s="6" t="s">
        <v>69</v>
      </c>
      <c r="O69" s="6"/>
      <c r="P69" s="6"/>
      <c r="Q69" s="6"/>
      <c r="R69" s="6" t="s">
        <v>70</v>
      </c>
      <c r="S69" s="150" t="s">
        <v>464</v>
      </c>
      <c r="T69" s="6" t="s">
        <v>72</v>
      </c>
      <c r="U69" s="36">
        <v>2</v>
      </c>
      <c r="V69" s="36">
        <v>12</v>
      </c>
      <c r="W69" s="298" t="s">
        <v>885</v>
      </c>
      <c r="X69" s="36" t="s">
        <v>886</v>
      </c>
      <c r="Y69" s="6" t="s">
        <v>75</v>
      </c>
      <c r="Z69" s="6" t="s">
        <v>76</v>
      </c>
      <c r="AA69" s="6" t="s">
        <v>75</v>
      </c>
      <c r="AB69" s="6" t="s">
        <v>76</v>
      </c>
      <c r="AC69" s="6" t="s">
        <v>75</v>
      </c>
      <c r="AD69" s="6" t="str">
        <f>_xlfn.TEXTJOIN("/",TRUE,IF(OfertaPlazas[[#This Row],[GITST]]="SI","GITST",""),IF(OfertaPlazas[[#This Row],[GIB]]="SI","GIB",""),IF(OfertaPlazas[[#This Row],[GISD]]="SI","GISD",""),IF(OfertaPlazas[[#This Row],[MASTER]]="SI","MASTER",""))</f>
        <v>GIB/MASTER</v>
      </c>
      <c r="AE69" s="6" t="s">
        <v>75</v>
      </c>
      <c r="AF69" s="6" t="s">
        <v>75</v>
      </c>
      <c r="AG69" s="6" t="s">
        <v>75</v>
      </c>
      <c r="AH69" s="6" t="s">
        <v>75</v>
      </c>
      <c r="AI69" s="6" t="s">
        <v>75</v>
      </c>
      <c r="AJ69" s="6" t="s">
        <v>76</v>
      </c>
      <c r="AK69" s="6" t="s">
        <v>76</v>
      </c>
      <c r="AL69" s="6" t="s">
        <v>75</v>
      </c>
      <c r="AM69" s="6" t="s">
        <v>76</v>
      </c>
      <c r="AN69" s="6" t="s">
        <v>76</v>
      </c>
      <c r="AO69" s="6" t="s">
        <v>75</v>
      </c>
      <c r="AP69" s="6" t="s">
        <v>75</v>
      </c>
      <c r="AQ69" s="6" t="s">
        <v>75</v>
      </c>
      <c r="AR69" s="6" t="s">
        <v>76</v>
      </c>
      <c r="AS69" s="27" t="s">
        <v>173</v>
      </c>
      <c r="AT69" s="301"/>
      <c r="AU69" s="259" t="s">
        <v>887</v>
      </c>
      <c r="AV69" s="13" t="s">
        <v>888</v>
      </c>
      <c r="AW69" s="13"/>
      <c r="AX69" s="13"/>
      <c r="AY69" s="90"/>
      <c r="AZ69" s="90"/>
      <c r="BA69" s="90"/>
      <c r="BB69" s="90"/>
      <c r="BC69" s="90"/>
      <c r="BD69" s="90"/>
      <c r="BE69" s="319" t="e">
        <f>VLOOKUP(B69,'TEAMS_30-09-2021'!$D:$AG,30,FALSE)</f>
        <v>#N/A</v>
      </c>
      <c r="BF69" s="319" t="e">
        <f>VLOOKUP(B69,'ENCUESTAS JUN-2021'!I:I,1,FALSE)</f>
        <v>#N/A</v>
      </c>
      <c r="BG69" s="63" t="e">
        <f>VLOOKUP(B69,'TEAMS_30-09-2021'!D:D,1,FALSE)</f>
        <v>#N/A</v>
      </c>
      <c r="BH69" s="13"/>
      <c r="BL69" s="19" t="e">
        <f t="shared" si="2"/>
        <v>#REF!</v>
      </c>
    </row>
    <row r="70" spans="1:64" s="19" customFormat="1" ht="20.100000000000001" hidden="1" customHeight="1">
      <c r="A70" s="357">
        <v>69</v>
      </c>
      <c r="B70" s="13" t="s">
        <v>889</v>
      </c>
      <c r="C70" s="252" t="s">
        <v>890</v>
      </c>
      <c r="D70" s="63" t="s">
        <v>891</v>
      </c>
      <c r="E70" s="6" t="s">
        <v>892</v>
      </c>
      <c r="F70" s="6" t="s">
        <v>893</v>
      </c>
      <c r="G70" s="6"/>
      <c r="H70" s="209" t="s">
        <v>218</v>
      </c>
      <c r="I70" s="216" t="s">
        <v>90</v>
      </c>
      <c r="J70" s="216" t="s">
        <v>90</v>
      </c>
      <c r="K70" s="209"/>
      <c r="L70" s="216" t="s">
        <v>90</v>
      </c>
      <c r="M70" s="216"/>
      <c r="N70" s="6" t="s">
        <v>69</v>
      </c>
      <c r="O70" s="6"/>
      <c r="P70" s="6" t="s">
        <v>70</v>
      </c>
      <c r="Q70" s="6"/>
      <c r="R70" s="6"/>
      <c r="S70" s="150" t="s">
        <v>194</v>
      </c>
      <c r="T70" s="6" t="s">
        <v>72</v>
      </c>
      <c r="U70" s="36">
        <v>2</v>
      </c>
      <c r="V70" s="36">
        <v>12</v>
      </c>
      <c r="W70" s="36" t="s">
        <v>894</v>
      </c>
      <c r="X70" s="36" t="s">
        <v>895</v>
      </c>
      <c r="Y70" s="6" t="s">
        <v>75</v>
      </c>
      <c r="Z70" s="6" t="s">
        <v>75</v>
      </c>
      <c r="AA70" s="6" t="s">
        <v>76</v>
      </c>
      <c r="AB70" s="6" t="s">
        <v>76</v>
      </c>
      <c r="AC70" s="6" t="s">
        <v>75</v>
      </c>
      <c r="AD70" s="6" t="str">
        <f>_xlfn.TEXTJOIN("/",TRUE,IF(OfertaPlazas[[#This Row],[GITST]]="SI","GITST",""),IF(OfertaPlazas[[#This Row],[GIB]]="SI","GIB",""),IF(OfertaPlazas[[#This Row],[GISD]]="SI","GISD",""),IF(OfertaPlazas[[#This Row],[MASTER]]="SI","MASTER",""))</f>
        <v>GITST/MASTER</v>
      </c>
      <c r="AE70" s="6" t="s">
        <v>75</v>
      </c>
      <c r="AF70" s="6" t="s">
        <v>75</v>
      </c>
      <c r="AG70" s="6" t="s">
        <v>75</v>
      </c>
      <c r="AH70" s="16" t="s">
        <v>75</v>
      </c>
      <c r="AI70" s="16" t="s">
        <v>75</v>
      </c>
      <c r="AJ70" s="16" t="s">
        <v>75</v>
      </c>
      <c r="AK70" s="16" t="s">
        <v>75</v>
      </c>
      <c r="AL70" s="16" t="s">
        <v>75</v>
      </c>
      <c r="AM70" s="16" t="s">
        <v>75</v>
      </c>
      <c r="AN70" s="16" t="s">
        <v>75</v>
      </c>
      <c r="AO70" s="6" t="s">
        <v>75</v>
      </c>
      <c r="AP70" s="6" t="s">
        <v>75</v>
      </c>
      <c r="AQ70" s="6" t="s">
        <v>75</v>
      </c>
      <c r="AR70" s="6" t="s">
        <v>76</v>
      </c>
      <c r="AS70" s="27" t="s">
        <v>896</v>
      </c>
      <c r="AT70" s="301"/>
      <c r="AU70" s="302"/>
      <c r="AV70" s="13"/>
      <c r="AW70" s="13"/>
      <c r="AX70" s="13"/>
      <c r="AY70" s="90"/>
      <c r="AZ70" s="90"/>
      <c r="BA70" s="90"/>
      <c r="BB70" s="90"/>
      <c r="BC70" s="90"/>
      <c r="BD70" s="90"/>
      <c r="BE70" s="319">
        <f>VLOOKUP(B70,'TEAMS_30-09-2021'!$D:$AG,30,FALSE)</f>
        <v>0</v>
      </c>
      <c r="BF70" s="319" t="e">
        <f>VLOOKUP(B70,'ENCUESTAS JUN-2021'!I:I,1,FALSE)</f>
        <v>#N/A</v>
      </c>
      <c r="BG70" s="63" t="str">
        <f>VLOOKUP(B70,'TEAMS_30-09-2021'!D:D,1,FALSE)</f>
        <v>Politecnico di Bari</v>
      </c>
      <c r="BH70" s="13"/>
      <c r="BL70" s="19" t="e">
        <f t="shared" si="2"/>
        <v>#REF!</v>
      </c>
    </row>
    <row r="71" spans="1:64" s="19" customFormat="1" ht="20.100000000000001" hidden="1" customHeight="1">
      <c r="A71" s="357">
        <v>70</v>
      </c>
      <c r="B71" s="13" t="s">
        <v>897</v>
      </c>
      <c r="C71" s="252" t="s">
        <v>898</v>
      </c>
      <c r="D71" s="63" t="s">
        <v>899</v>
      </c>
      <c r="E71" s="6" t="s">
        <v>900</v>
      </c>
      <c r="F71" s="6" t="s">
        <v>893</v>
      </c>
      <c r="G71" s="6"/>
      <c r="H71" s="209" t="s">
        <v>901</v>
      </c>
      <c r="I71" s="216" t="s">
        <v>119</v>
      </c>
      <c r="J71" s="216" t="s">
        <v>119</v>
      </c>
      <c r="K71" s="209" t="s">
        <v>753</v>
      </c>
      <c r="L71" s="216" t="s">
        <v>193</v>
      </c>
      <c r="M71" s="216" t="s">
        <v>193</v>
      </c>
      <c r="N71" s="6" t="s">
        <v>69</v>
      </c>
      <c r="O71" s="6"/>
      <c r="P71" s="6" t="s">
        <v>72</v>
      </c>
      <c r="Q71" s="6" t="s">
        <v>628</v>
      </c>
      <c r="R71" s="6" t="s">
        <v>70</v>
      </c>
      <c r="S71" s="150" t="s">
        <v>902</v>
      </c>
      <c r="T71" s="6" t="s">
        <v>72</v>
      </c>
      <c r="U71" s="36">
        <v>2</v>
      </c>
      <c r="V71" s="36">
        <v>10</v>
      </c>
      <c r="W71" s="36" t="s">
        <v>903</v>
      </c>
      <c r="X71" s="36" t="s">
        <v>904</v>
      </c>
      <c r="Y71" s="6" t="s">
        <v>75</v>
      </c>
      <c r="Z71" s="6" t="s">
        <v>75</v>
      </c>
      <c r="AA71" s="6" t="s">
        <v>75</v>
      </c>
      <c r="AB71" s="6" t="s">
        <v>75</v>
      </c>
      <c r="AC71" s="6" t="s">
        <v>75</v>
      </c>
      <c r="AD71" s="6" t="str">
        <f>_xlfn.TEXTJOIN("/",TRUE,IF(OfertaPlazas[[#This Row],[GITST]]="SI","GITST",""),IF(OfertaPlazas[[#This Row],[GIB]]="SI","GIB",""),IF(OfertaPlazas[[#This Row],[GISD]]="SI","GISD",""),IF(OfertaPlazas[[#This Row],[MASTER]]="SI","MASTER",""))</f>
        <v>GITST/GIB/GISD/MASTER</v>
      </c>
      <c r="AE71" s="6" t="s">
        <v>75</v>
      </c>
      <c r="AF71" s="6" t="s">
        <v>75</v>
      </c>
      <c r="AG71" s="6" t="s">
        <v>75</v>
      </c>
      <c r="AH71" s="6" t="s">
        <v>75</v>
      </c>
      <c r="AI71" s="6" t="s">
        <v>75</v>
      </c>
      <c r="AJ71" s="6" t="s">
        <v>75</v>
      </c>
      <c r="AK71" s="6" t="s">
        <v>75</v>
      </c>
      <c r="AL71" s="6" t="s">
        <v>75</v>
      </c>
      <c r="AM71" s="6" t="s">
        <v>75</v>
      </c>
      <c r="AN71" s="6" t="s">
        <v>75</v>
      </c>
      <c r="AO71" s="6" t="s">
        <v>75</v>
      </c>
      <c r="AP71" s="6" t="s">
        <v>75</v>
      </c>
      <c r="AQ71" s="6" t="s">
        <v>75</v>
      </c>
      <c r="AR71" s="6" t="s">
        <v>76</v>
      </c>
      <c r="AS71" s="27" t="s">
        <v>173</v>
      </c>
      <c r="AT71" s="301"/>
      <c r="AU71" s="13"/>
      <c r="AV71" s="13"/>
      <c r="AW71" s="13"/>
      <c r="AX71" s="13"/>
      <c r="AY71" s="90"/>
      <c r="AZ71" s="90"/>
      <c r="BA71" s="90"/>
      <c r="BB71" s="90"/>
      <c r="BC71" s="90"/>
      <c r="BD71" s="90"/>
      <c r="BE71" s="319"/>
      <c r="BF71" s="319"/>
      <c r="BG71" s="63"/>
      <c r="BH71" s="13"/>
    </row>
    <row r="72" spans="1:64" s="19" customFormat="1" ht="20.100000000000001" hidden="1" customHeight="1">
      <c r="A72" s="357">
        <v>71</v>
      </c>
      <c r="B72" s="13" t="s">
        <v>905</v>
      </c>
      <c r="C72" s="252" t="s">
        <v>905</v>
      </c>
      <c r="D72" s="63" t="s">
        <v>906</v>
      </c>
      <c r="E72" s="6" t="s">
        <v>907</v>
      </c>
      <c r="F72" s="6" t="s">
        <v>893</v>
      </c>
      <c r="G72" s="6"/>
      <c r="H72" s="209" t="s">
        <v>908</v>
      </c>
      <c r="I72" s="216" t="s">
        <v>118</v>
      </c>
      <c r="J72" s="216" t="s">
        <v>119</v>
      </c>
      <c r="K72" s="209" t="s">
        <v>327</v>
      </c>
      <c r="L72" s="216" t="s">
        <v>193</v>
      </c>
      <c r="M72" s="216" t="s">
        <v>208</v>
      </c>
      <c r="N72" s="6" t="s">
        <v>69</v>
      </c>
      <c r="O72" s="6"/>
      <c r="P72" s="6" t="s">
        <v>70</v>
      </c>
      <c r="Q72" s="6"/>
      <c r="R72" s="6" t="s">
        <v>70</v>
      </c>
      <c r="S72" s="150" t="s">
        <v>123</v>
      </c>
      <c r="T72" s="6" t="s">
        <v>72</v>
      </c>
      <c r="U72" s="36">
        <v>2</v>
      </c>
      <c r="V72" s="36">
        <v>12</v>
      </c>
      <c r="W72" s="36" t="s">
        <v>909</v>
      </c>
      <c r="X72" s="36" t="s">
        <v>910</v>
      </c>
      <c r="Y72" s="6" t="s">
        <v>75</v>
      </c>
      <c r="Z72" s="6" t="s">
        <v>75</v>
      </c>
      <c r="AA72" s="6" t="s">
        <v>76</v>
      </c>
      <c r="AB72" s="6" t="s">
        <v>76</v>
      </c>
      <c r="AC72" s="6" t="s">
        <v>75</v>
      </c>
      <c r="AD72" s="6" t="str">
        <f>_xlfn.TEXTJOIN("/",TRUE,IF(OfertaPlazas[[#This Row],[GITST]]="SI","GITST",""),IF(OfertaPlazas[[#This Row],[GIB]]="SI","GIB",""),IF(OfertaPlazas[[#This Row],[GISD]]="SI","GISD",""),IF(OfertaPlazas[[#This Row],[MASTER]]="SI","MASTER",""))</f>
        <v>GITST/MASTER</v>
      </c>
      <c r="AE72" s="6" t="s">
        <v>75</v>
      </c>
      <c r="AF72" s="6" t="s">
        <v>75</v>
      </c>
      <c r="AG72" s="6" t="s">
        <v>75</v>
      </c>
      <c r="AH72" s="16" t="s">
        <v>75</v>
      </c>
      <c r="AI72" s="16" t="s">
        <v>75</v>
      </c>
      <c r="AJ72" s="16" t="s">
        <v>75</v>
      </c>
      <c r="AK72" s="16" t="s">
        <v>75</v>
      </c>
      <c r="AL72" s="16" t="s">
        <v>75</v>
      </c>
      <c r="AM72" s="16" t="s">
        <v>75</v>
      </c>
      <c r="AN72" s="16" t="s">
        <v>75</v>
      </c>
      <c r="AO72" s="6" t="s">
        <v>75</v>
      </c>
      <c r="AP72" s="6" t="s">
        <v>75</v>
      </c>
      <c r="AQ72" s="6" t="s">
        <v>75</v>
      </c>
      <c r="AR72" s="6" t="s">
        <v>76</v>
      </c>
      <c r="AS72" s="27" t="s">
        <v>911</v>
      </c>
      <c r="AT72" s="301"/>
      <c r="AU72" s="277" t="s">
        <v>912</v>
      </c>
      <c r="AV72" s="13" t="s">
        <v>746</v>
      </c>
      <c r="AW72" s="13"/>
      <c r="AX72" s="13"/>
      <c r="AY72" s="90"/>
      <c r="AZ72" s="90"/>
      <c r="BA72" s="90"/>
      <c r="BB72" s="90"/>
      <c r="BC72" s="90"/>
      <c r="BD72" s="90"/>
      <c r="BE72" s="319">
        <f>VLOOKUP(B72,'TEAMS_30-09-2021'!$D:$AG,30,FALSE)</f>
        <v>0</v>
      </c>
      <c r="BF72" s="319" t="e">
        <f>VLOOKUP(B72,'ENCUESTAS JUN-2021'!I:I,1,FALSE)</f>
        <v>#N/A</v>
      </c>
      <c r="BG72" s="63" t="str">
        <f>VLOOKUP(B72,'TEAMS_30-09-2021'!D:D,1,FALSE)</f>
        <v>Università degli Studi di Firenze</v>
      </c>
      <c r="BH72" s="13"/>
    </row>
    <row r="73" spans="1:64" s="19" customFormat="1" ht="20.100000000000001" hidden="1" customHeight="1">
      <c r="A73" s="357">
        <v>72</v>
      </c>
      <c r="B73" s="13" t="s">
        <v>913</v>
      </c>
      <c r="C73" s="252" t="s">
        <v>913</v>
      </c>
      <c r="D73" s="63" t="s">
        <v>914</v>
      </c>
      <c r="E73" s="6" t="s">
        <v>915</v>
      </c>
      <c r="F73" s="6" t="s">
        <v>893</v>
      </c>
      <c r="G73" s="36" t="s">
        <v>916</v>
      </c>
      <c r="H73" s="209" t="s">
        <v>917</v>
      </c>
      <c r="I73" s="216" t="s">
        <v>169</v>
      </c>
      <c r="J73" s="216" t="s">
        <v>675</v>
      </c>
      <c r="K73" s="209" t="s">
        <v>918</v>
      </c>
      <c r="L73" s="216" t="s">
        <v>919</v>
      </c>
      <c r="M73" s="216"/>
      <c r="N73" s="6" t="s">
        <v>69</v>
      </c>
      <c r="O73" s="6" t="s">
        <v>70</v>
      </c>
      <c r="P73" s="6" t="s">
        <v>70</v>
      </c>
      <c r="Q73" s="6" t="s">
        <v>70</v>
      </c>
      <c r="R73" s="6" t="s">
        <v>70</v>
      </c>
      <c r="S73" s="150" t="s">
        <v>920</v>
      </c>
      <c r="T73" s="6" t="s">
        <v>72</v>
      </c>
      <c r="U73" s="36">
        <v>8</v>
      </c>
      <c r="V73" s="36">
        <v>12</v>
      </c>
      <c r="W73" s="36" t="s">
        <v>921</v>
      </c>
      <c r="X73" s="36" t="s">
        <v>922</v>
      </c>
      <c r="Y73" s="6" t="s">
        <v>75</v>
      </c>
      <c r="Z73" s="6" t="s">
        <v>75</v>
      </c>
      <c r="AA73" s="6" t="s">
        <v>75</v>
      </c>
      <c r="AB73" s="6" t="s">
        <v>75</v>
      </c>
      <c r="AC73" s="6" t="s">
        <v>75</v>
      </c>
      <c r="AD73" s="6" t="str">
        <f>_xlfn.TEXTJOIN("/",TRUE,IF(OfertaPlazas[[#This Row],[GITST]]="SI","GITST",""),IF(OfertaPlazas[[#This Row],[GIB]]="SI","GIB",""),IF(OfertaPlazas[[#This Row],[GISD]]="SI","GISD",""),IF(OfertaPlazas[[#This Row],[MASTER]]="SI","MASTER",""))</f>
        <v>GITST/GIB/GISD/MASTER</v>
      </c>
      <c r="AE73" s="6" t="s">
        <v>75</v>
      </c>
      <c r="AF73" s="6" t="s">
        <v>75</v>
      </c>
      <c r="AG73" s="6" t="s">
        <v>75</v>
      </c>
      <c r="AH73" s="16" t="s">
        <v>75</v>
      </c>
      <c r="AI73" s="16" t="s">
        <v>75</v>
      </c>
      <c r="AJ73" s="16" t="s">
        <v>75</v>
      </c>
      <c r="AK73" s="16" t="s">
        <v>75</v>
      </c>
      <c r="AL73" s="16" t="s">
        <v>75</v>
      </c>
      <c r="AM73" s="16" t="s">
        <v>75</v>
      </c>
      <c r="AN73" s="16" t="s">
        <v>75</v>
      </c>
      <c r="AO73" s="6" t="s">
        <v>75</v>
      </c>
      <c r="AP73" s="6" t="s">
        <v>75</v>
      </c>
      <c r="AQ73" s="6" t="s">
        <v>75</v>
      </c>
      <c r="AR73" s="6" t="s">
        <v>75</v>
      </c>
      <c r="AS73" s="185" t="s">
        <v>911</v>
      </c>
      <c r="AT73" s="301" t="s">
        <v>923</v>
      </c>
      <c r="AU73" s="13" t="s">
        <v>924</v>
      </c>
      <c r="AV73" s="13" t="s">
        <v>925</v>
      </c>
      <c r="AW73" s="13" t="s">
        <v>926</v>
      </c>
      <c r="AX73" s="13"/>
      <c r="AY73" s="90"/>
      <c r="AZ73" s="90"/>
      <c r="BA73" s="90"/>
      <c r="BB73" s="90"/>
      <c r="BC73" s="90"/>
      <c r="BD73" s="90"/>
      <c r="BE73" s="319" t="str">
        <f>VLOOKUP(B73,'TEAMS_30-09-2021'!$D:$AG,30,FALSE)</f>
        <v>no se desdobla el número de plazas / se aumentó el número de alumnos en el curso 2020-21 pasando de 4 a 8</v>
      </c>
      <c r="BF73" s="320" t="str">
        <f>VLOOKUP(B73,'ENCUESTAS JUN-2021'!I:I,1,FALSE)</f>
        <v>Politecnico di Milano</v>
      </c>
      <c r="BG73" s="63" t="str">
        <f>VLOOKUP(B73,'TEAMS_30-09-2021'!D:D,1,FALSE)</f>
        <v>Politecnico di Milano</v>
      </c>
      <c r="BH73" s="13"/>
      <c r="BL73" s="19" t="e">
        <f t="shared" si="2"/>
        <v>#REF!</v>
      </c>
    </row>
    <row r="74" spans="1:64" s="19" customFormat="1" ht="20.100000000000001" hidden="1" customHeight="1">
      <c r="A74" s="357">
        <v>73</v>
      </c>
      <c r="B74" s="13" t="s">
        <v>927</v>
      </c>
      <c r="C74" s="252" t="s">
        <v>928</v>
      </c>
      <c r="D74" s="63" t="s">
        <v>929</v>
      </c>
      <c r="E74" s="6" t="s">
        <v>930</v>
      </c>
      <c r="F74" s="6" t="s">
        <v>893</v>
      </c>
      <c r="G74" s="6"/>
      <c r="H74" s="209" t="s">
        <v>931</v>
      </c>
      <c r="I74" s="216" t="s">
        <v>90</v>
      </c>
      <c r="J74" s="216" t="s">
        <v>90</v>
      </c>
      <c r="K74" s="209" t="s">
        <v>818</v>
      </c>
      <c r="L74" s="216" t="s">
        <v>121</v>
      </c>
      <c r="M74" s="216"/>
      <c r="N74" s="6" t="s">
        <v>69</v>
      </c>
      <c r="O74" s="6"/>
      <c r="P74" s="6" t="s">
        <v>70</v>
      </c>
      <c r="Q74" s="6"/>
      <c r="R74" s="6" t="s">
        <v>70</v>
      </c>
      <c r="S74" s="150" t="s">
        <v>123</v>
      </c>
      <c r="T74" s="6" t="s">
        <v>72</v>
      </c>
      <c r="U74" s="36">
        <v>2</v>
      </c>
      <c r="V74" s="36">
        <v>12</v>
      </c>
      <c r="W74" s="36" t="s">
        <v>932</v>
      </c>
      <c r="X74" s="36" t="s">
        <v>125</v>
      </c>
      <c r="Y74" s="6" t="s">
        <v>75</v>
      </c>
      <c r="Z74" s="6" t="s">
        <v>75</v>
      </c>
      <c r="AA74" s="6" t="s">
        <v>75</v>
      </c>
      <c r="AB74" s="6" t="s">
        <v>76</v>
      </c>
      <c r="AC74" s="6" t="s">
        <v>75</v>
      </c>
      <c r="AD74" s="6" t="str">
        <f>_xlfn.TEXTJOIN("/",TRUE,IF(OfertaPlazas[[#This Row],[GITST]]="SI","GITST",""),IF(OfertaPlazas[[#This Row],[GIB]]="SI","GIB",""),IF(OfertaPlazas[[#This Row],[GISD]]="SI","GISD",""),IF(OfertaPlazas[[#This Row],[MASTER]]="SI","MASTER",""))</f>
        <v>GITST/GIB/MASTER</v>
      </c>
      <c r="AE74" s="6" t="s">
        <v>75</v>
      </c>
      <c r="AF74" s="6" t="s">
        <v>75</v>
      </c>
      <c r="AG74" s="6" t="s">
        <v>75</v>
      </c>
      <c r="AH74" s="16" t="s">
        <v>75</v>
      </c>
      <c r="AI74" s="16" t="s">
        <v>75</v>
      </c>
      <c r="AJ74" s="16" t="s">
        <v>75</v>
      </c>
      <c r="AK74" s="16" t="s">
        <v>75</v>
      </c>
      <c r="AL74" s="16" t="s">
        <v>75</v>
      </c>
      <c r="AM74" s="16" t="s">
        <v>75</v>
      </c>
      <c r="AN74" s="16" t="s">
        <v>75</v>
      </c>
      <c r="AO74" s="6" t="s">
        <v>75</v>
      </c>
      <c r="AP74" s="6" t="s">
        <v>75</v>
      </c>
      <c r="AQ74" s="6" t="s">
        <v>75</v>
      </c>
      <c r="AR74" s="6" t="s">
        <v>76</v>
      </c>
      <c r="AS74" s="185" t="s">
        <v>911</v>
      </c>
      <c r="AT74" s="301"/>
      <c r="AU74" s="13" t="s">
        <v>933</v>
      </c>
      <c r="AV74" s="13"/>
      <c r="AW74" s="13"/>
      <c r="AX74" s="13"/>
      <c r="AY74" s="90"/>
      <c r="AZ74" s="90"/>
      <c r="BA74" s="90"/>
      <c r="BB74" s="90"/>
      <c r="BC74" s="90"/>
      <c r="BD74" s="90"/>
      <c r="BE74" s="319">
        <f>VLOOKUP(B74,'TEAMS_30-09-2021'!$D:$AG,30,FALSE)</f>
        <v>0</v>
      </c>
      <c r="BF74" s="320" t="str">
        <f>VLOOKUP(B74,'ENCUESTAS JUN-2021'!I:I,1,FALSE)</f>
        <v>Universitá degli Studi di Napoli Federico II</v>
      </c>
      <c r="BG74" s="63" t="str">
        <f>VLOOKUP(B74,'TEAMS_30-09-2021'!D:D,1,FALSE)</f>
        <v>Universitá degli Studi di Napoli Federico II</v>
      </c>
      <c r="BH74" s="13"/>
      <c r="BL74" s="19" t="e">
        <f t="shared" si="2"/>
        <v>#REF!</v>
      </c>
    </row>
    <row r="75" spans="1:64" s="19" customFormat="1" ht="20.100000000000001" hidden="1" customHeight="1">
      <c r="A75" s="357">
        <v>74</v>
      </c>
      <c r="B75" s="13" t="s">
        <v>934</v>
      </c>
      <c r="C75" s="252" t="s">
        <v>935</v>
      </c>
      <c r="D75" s="63" t="s">
        <v>929</v>
      </c>
      <c r="E75" s="54" t="s">
        <v>936</v>
      </c>
      <c r="F75" s="6" t="s">
        <v>893</v>
      </c>
      <c r="G75" s="6"/>
      <c r="H75" s="209" t="s">
        <v>937</v>
      </c>
      <c r="I75" s="216" t="s">
        <v>139</v>
      </c>
      <c r="J75" s="216" t="s">
        <v>119</v>
      </c>
      <c r="K75" s="209" t="s">
        <v>938</v>
      </c>
      <c r="L75" s="216" t="s">
        <v>939</v>
      </c>
      <c r="M75" s="216" t="s">
        <v>208</v>
      </c>
      <c r="N75" s="6" t="s">
        <v>69</v>
      </c>
      <c r="O75" s="6"/>
      <c r="P75" s="6" t="s">
        <v>70</v>
      </c>
      <c r="Q75" s="6" t="s">
        <v>70</v>
      </c>
      <c r="R75" s="6" t="s">
        <v>70</v>
      </c>
      <c r="S75" s="150" t="s">
        <v>902</v>
      </c>
      <c r="T75" s="6" t="s">
        <v>72</v>
      </c>
      <c r="U75" s="36">
        <v>2</v>
      </c>
      <c r="V75" s="36">
        <v>12</v>
      </c>
      <c r="W75" s="36" t="s">
        <v>940</v>
      </c>
      <c r="X75" s="36" t="s">
        <v>125</v>
      </c>
      <c r="Y75" s="6" t="s">
        <v>75</v>
      </c>
      <c r="Z75" s="6" t="s">
        <v>75</v>
      </c>
      <c r="AA75" s="6" t="s">
        <v>75</v>
      </c>
      <c r="AB75" s="6" t="s">
        <v>75</v>
      </c>
      <c r="AC75" s="6" t="s">
        <v>75</v>
      </c>
      <c r="AD75" s="6" t="str">
        <f>_xlfn.TEXTJOIN("/",TRUE,IF(OfertaPlazas[[#This Row],[GITST]]="SI","GITST",""),IF(OfertaPlazas[[#This Row],[GIB]]="SI","GIB",""),IF(OfertaPlazas[[#This Row],[GISD]]="SI","GISD",""),IF(OfertaPlazas[[#This Row],[MASTER]]="SI","MASTER",""))</f>
        <v>GITST/GIB/GISD/MASTER</v>
      </c>
      <c r="AE75" s="6" t="s">
        <v>75</v>
      </c>
      <c r="AF75" s="6" t="s">
        <v>75</v>
      </c>
      <c r="AG75" s="6" t="s">
        <v>75</v>
      </c>
      <c r="AH75" s="6" t="s">
        <v>75</v>
      </c>
      <c r="AI75" s="6" t="s">
        <v>75</v>
      </c>
      <c r="AJ75" s="6" t="s">
        <v>75</v>
      </c>
      <c r="AK75" s="6" t="s">
        <v>75</v>
      </c>
      <c r="AL75" s="6" t="s">
        <v>76</v>
      </c>
      <c r="AM75" s="6" t="s">
        <v>76</v>
      </c>
      <c r="AN75" s="6" t="s">
        <v>75</v>
      </c>
      <c r="AO75" s="6" t="s">
        <v>75</v>
      </c>
      <c r="AP75" s="6" t="s">
        <v>76</v>
      </c>
      <c r="AQ75" s="6" t="s">
        <v>75</v>
      </c>
      <c r="AR75" s="6" t="s">
        <v>76</v>
      </c>
      <c r="AS75" s="185" t="s">
        <v>941</v>
      </c>
      <c r="AT75" s="301"/>
      <c r="AU75" s="259" t="s">
        <v>942</v>
      </c>
      <c r="AV75" s="13"/>
      <c r="AW75" s="13"/>
      <c r="AX75" s="13"/>
      <c r="AY75" s="90"/>
      <c r="AZ75" s="90"/>
      <c r="BA75" s="90"/>
      <c r="BB75" s="90"/>
      <c r="BC75" s="90"/>
      <c r="BD75" s="90"/>
      <c r="BE75" s="319">
        <f>VLOOKUP(B75,'TEAMS_30-09-2021'!$D:$AG,30,FALSE)</f>
        <v>0</v>
      </c>
      <c r="BF75" s="319" t="e">
        <f>VLOOKUP(B75,'ENCUESTAS JUN-2021'!I:I,1,FALSE)</f>
        <v>#N/A</v>
      </c>
      <c r="BG75" s="63" t="str">
        <f>VLOOKUP(B75,'TEAMS_30-09-2021'!D:D,1,FALSE)</f>
        <v>Universitá degli Studi di Napoli "Parthenope"</v>
      </c>
      <c r="BH75" s="13"/>
      <c r="BL75" s="19" t="e">
        <f t="shared" si="2"/>
        <v>#REF!</v>
      </c>
    </row>
    <row r="76" spans="1:64" s="19" customFormat="1" ht="24.75" hidden="1" customHeight="1">
      <c r="A76" s="357">
        <v>75</v>
      </c>
      <c r="B76" s="13" t="s">
        <v>943</v>
      </c>
      <c r="C76" s="252" t="s">
        <v>944</v>
      </c>
      <c r="D76" s="63" t="s">
        <v>945</v>
      </c>
      <c r="E76" s="6" t="s">
        <v>946</v>
      </c>
      <c r="F76" s="6" t="s">
        <v>893</v>
      </c>
      <c r="G76" s="219"/>
      <c r="H76" s="209" t="s">
        <v>947</v>
      </c>
      <c r="I76" s="216" t="s">
        <v>139</v>
      </c>
      <c r="J76" s="216" t="s">
        <v>90</v>
      </c>
      <c r="K76" s="209" t="s">
        <v>948</v>
      </c>
      <c r="L76" s="216" t="s">
        <v>141</v>
      </c>
      <c r="M76" s="306" t="s">
        <v>92</v>
      </c>
      <c r="N76" s="6" t="s">
        <v>69</v>
      </c>
      <c r="O76" s="6"/>
      <c r="P76" s="6" t="s">
        <v>70</v>
      </c>
      <c r="Q76" s="6" t="s">
        <v>70</v>
      </c>
      <c r="R76" s="6"/>
      <c r="S76" s="150" t="s">
        <v>231</v>
      </c>
      <c r="T76" s="6" t="s">
        <v>72</v>
      </c>
      <c r="U76" s="36">
        <v>4</v>
      </c>
      <c r="V76" s="36">
        <v>12</v>
      </c>
      <c r="W76" s="36" t="s">
        <v>949</v>
      </c>
      <c r="X76" s="36" t="s">
        <v>950</v>
      </c>
      <c r="Y76" s="6" t="s">
        <v>75</v>
      </c>
      <c r="Z76" s="6" t="s">
        <v>75</v>
      </c>
      <c r="AA76" s="6" t="s">
        <v>76</v>
      </c>
      <c r="AB76" s="6" t="s">
        <v>75</v>
      </c>
      <c r="AC76" s="6" t="s">
        <v>75</v>
      </c>
      <c r="AD76" s="6" t="str">
        <f>_xlfn.TEXTJOIN("/",TRUE,IF(OfertaPlazas[[#This Row],[GITST]]="SI","GITST",""),IF(OfertaPlazas[[#This Row],[GIB]]="SI","GIB",""),IF(OfertaPlazas[[#This Row],[GISD]]="SI","GISD",""),IF(OfertaPlazas[[#This Row],[MASTER]]="SI","MASTER",""))</f>
        <v>GITST/GISD/MASTER</v>
      </c>
      <c r="AE76" s="6" t="s">
        <v>75</v>
      </c>
      <c r="AF76" s="6" t="s">
        <v>75</v>
      </c>
      <c r="AG76" s="6" t="s">
        <v>75</v>
      </c>
      <c r="AH76" s="16" t="s">
        <v>75</v>
      </c>
      <c r="AI76" s="16" t="s">
        <v>75</v>
      </c>
      <c r="AJ76" s="16" t="s">
        <v>76</v>
      </c>
      <c r="AK76" s="16" t="s">
        <v>76</v>
      </c>
      <c r="AL76" s="16" t="s">
        <v>75</v>
      </c>
      <c r="AM76" s="16" t="s">
        <v>75</v>
      </c>
      <c r="AN76" s="16" t="s">
        <v>76</v>
      </c>
      <c r="AO76" s="6" t="s">
        <v>75</v>
      </c>
      <c r="AP76" s="6" t="s">
        <v>75</v>
      </c>
      <c r="AQ76" s="6" t="s">
        <v>75</v>
      </c>
      <c r="AR76" s="6" t="s">
        <v>76</v>
      </c>
      <c r="AS76" s="185" t="s">
        <v>951</v>
      </c>
      <c r="AT76" s="301" t="s">
        <v>952</v>
      </c>
      <c r="AU76" s="349" t="s">
        <v>953</v>
      </c>
      <c r="AV76" s="13" t="s">
        <v>954</v>
      </c>
      <c r="AW76" s="13" t="s">
        <v>955</v>
      </c>
      <c r="AX76" s="13"/>
      <c r="AY76" s="90"/>
      <c r="AZ76" s="90"/>
      <c r="BA76" s="90"/>
      <c r="BB76" s="90"/>
      <c r="BC76" s="90"/>
      <c r="BD76" s="90"/>
      <c r="BE76" s="319">
        <f>VLOOKUP(B76,'TEAMS_30-09-2021'!$D:$AG,30,FALSE)</f>
        <v>0</v>
      </c>
      <c r="BF76" s="320" t="str">
        <f>VLOOKUP(B76,'ENCUESTAS JUN-2021'!I:I,1,FALSE)</f>
        <v>Università La Sapienza</v>
      </c>
      <c r="BG76" s="63" t="str">
        <f>VLOOKUP(B76,'TEAMS_30-09-2021'!D:D,1,FALSE)</f>
        <v>Università La Sapienza</v>
      </c>
      <c r="BH76" s="13"/>
      <c r="BL76" s="19" t="e">
        <f t="shared" si="2"/>
        <v>#REF!</v>
      </c>
    </row>
    <row r="77" spans="1:64" ht="24" hidden="1" customHeight="1">
      <c r="A77" s="357">
        <v>76</v>
      </c>
      <c r="B77" s="13" t="s">
        <v>956</v>
      </c>
      <c r="C77" s="252" t="s">
        <v>957</v>
      </c>
      <c r="D77" s="63" t="s">
        <v>945</v>
      </c>
      <c r="E77" s="6" t="s">
        <v>958</v>
      </c>
      <c r="F77" s="6" t="s">
        <v>893</v>
      </c>
      <c r="G77" s="219"/>
      <c r="H77" s="209" t="s">
        <v>959</v>
      </c>
      <c r="I77" s="216" t="s">
        <v>90</v>
      </c>
      <c r="J77" s="216" t="s">
        <v>119</v>
      </c>
      <c r="K77" s="209" t="s">
        <v>868</v>
      </c>
      <c r="L77" s="216" t="s">
        <v>92</v>
      </c>
      <c r="M77" s="216" t="s">
        <v>208</v>
      </c>
      <c r="N77" s="6" t="s">
        <v>69</v>
      </c>
      <c r="O77" s="6"/>
      <c r="P77" s="6"/>
      <c r="Q77" s="6"/>
      <c r="R77" s="6" t="s">
        <v>70</v>
      </c>
      <c r="S77" s="150" t="s">
        <v>464</v>
      </c>
      <c r="T77" s="6" t="s">
        <v>72</v>
      </c>
      <c r="U77" s="36">
        <v>1</v>
      </c>
      <c r="V77" s="36">
        <v>10</v>
      </c>
      <c r="W77" s="36"/>
      <c r="X77" s="36" t="s">
        <v>960</v>
      </c>
      <c r="Y77" s="6" t="s">
        <v>75</v>
      </c>
      <c r="Z77" s="6" t="s">
        <v>76</v>
      </c>
      <c r="AA77" s="6" t="s">
        <v>75</v>
      </c>
      <c r="AB77" s="6" t="s">
        <v>76</v>
      </c>
      <c r="AC77" s="6" t="s">
        <v>75</v>
      </c>
      <c r="AD77" s="6" t="str">
        <f>_xlfn.TEXTJOIN("/",TRUE,IF(OfertaPlazas[[#This Row],[GITST]]="SI","GITST",""),IF(OfertaPlazas[[#This Row],[GIB]]="SI","GIB",""),IF(OfertaPlazas[[#This Row],[GISD]]="SI","GISD",""),IF(OfertaPlazas[[#This Row],[MASTER]]="SI","MASTER",""))</f>
        <v>GIB/MASTER</v>
      </c>
      <c r="AE77" s="6" t="s">
        <v>75</v>
      </c>
      <c r="AF77" s="6" t="s">
        <v>75</v>
      </c>
      <c r="AG77" s="6" t="s">
        <v>75</v>
      </c>
      <c r="AH77" s="6" t="s">
        <v>75</v>
      </c>
      <c r="AI77" s="6" t="s">
        <v>75</v>
      </c>
      <c r="AJ77" s="6" t="s">
        <v>75</v>
      </c>
      <c r="AK77" s="6" t="s">
        <v>75</v>
      </c>
      <c r="AL77" s="6" t="s">
        <v>75</v>
      </c>
      <c r="AM77" s="6" t="s">
        <v>75</v>
      </c>
      <c r="AN77" s="6" t="s">
        <v>75</v>
      </c>
      <c r="AO77" s="6" t="s">
        <v>75</v>
      </c>
      <c r="AP77" s="6" t="s">
        <v>75</v>
      </c>
      <c r="AQ77" s="6" t="s">
        <v>75</v>
      </c>
      <c r="AR77" s="6" t="s">
        <v>76</v>
      </c>
      <c r="AS77" s="185" t="s">
        <v>951</v>
      </c>
      <c r="AT77" s="301"/>
      <c r="AU77" s="349"/>
      <c r="AV77" s="13" t="s">
        <v>961</v>
      </c>
      <c r="AW77" s="13"/>
      <c r="AX77" s="13"/>
      <c r="AY77" s="90"/>
      <c r="AZ77" s="90"/>
      <c r="BA77" s="90"/>
      <c r="BB77" s="90"/>
      <c r="BC77" s="90"/>
      <c r="BD77" s="90"/>
      <c r="BE77" s="319"/>
      <c r="BF77" s="320"/>
      <c r="BG77" s="63"/>
      <c r="BH77" s="13"/>
      <c r="BI77" s="19"/>
      <c r="BL77" s="19" t="e">
        <f t="shared" si="2"/>
        <v>#REF!</v>
      </c>
    </row>
    <row r="78" spans="1:64" ht="24" hidden="1" customHeight="1">
      <c r="A78" s="357">
        <v>77</v>
      </c>
      <c r="B78" s="13" t="s">
        <v>962</v>
      </c>
      <c r="C78" s="252" t="s">
        <v>962</v>
      </c>
      <c r="D78" s="63" t="s">
        <v>963</v>
      </c>
      <c r="E78" s="6" t="s">
        <v>964</v>
      </c>
      <c r="F78" s="6" t="s">
        <v>893</v>
      </c>
      <c r="G78" s="6"/>
      <c r="H78" s="209" t="s">
        <v>965</v>
      </c>
      <c r="I78" s="216" t="s">
        <v>966</v>
      </c>
      <c r="J78" s="216" t="s">
        <v>967</v>
      </c>
      <c r="K78" s="209" t="s">
        <v>968</v>
      </c>
      <c r="L78" s="216" t="s">
        <v>939</v>
      </c>
      <c r="M78" s="216" t="s">
        <v>208</v>
      </c>
      <c r="N78" s="6" t="s">
        <v>69</v>
      </c>
      <c r="O78" s="6"/>
      <c r="P78" s="6" t="s">
        <v>70</v>
      </c>
      <c r="Q78" s="6"/>
      <c r="R78" s="6" t="s">
        <v>70</v>
      </c>
      <c r="S78" s="150" t="s">
        <v>123</v>
      </c>
      <c r="T78" s="6" t="s">
        <v>72</v>
      </c>
      <c r="U78" s="36">
        <v>4</v>
      </c>
      <c r="V78" s="36">
        <v>12</v>
      </c>
      <c r="W78" s="36" t="s">
        <v>969</v>
      </c>
      <c r="X78" s="36" t="s">
        <v>970</v>
      </c>
      <c r="Y78" s="6" t="s">
        <v>75</v>
      </c>
      <c r="Z78" s="6" t="s">
        <v>75</v>
      </c>
      <c r="AA78" s="6" t="s">
        <v>75</v>
      </c>
      <c r="AB78" s="6" t="s">
        <v>76</v>
      </c>
      <c r="AC78" s="6" t="s">
        <v>75</v>
      </c>
      <c r="AD78" s="6" t="str">
        <f>_xlfn.TEXTJOIN("/",TRUE,IF(OfertaPlazas[[#This Row],[GITST]]="SI","GITST",""),IF(OfertaPlazas[[#This Row],[GIB]]="SI","GIB",""),IF(OfertaPlazas[[#This Row],[GISD]]="SI","GISD",""),IF(OfertaPlazas[[#This Row],[MASTER]]="SI","MASTER",""))</f>
        <v>GITST/GIB/MASTER</v>
      </c>
      <c r="AE78" s="6" t="s">
        <v>75</v>
      </c>
      <c r="AF78" s="6" t="s">
        <v>75</v>
      </c>
      <c r="AG78" s="6" t="s">
        <v>75</v>
      </c>
      <c r="AH78" s="6" t="s">
        <v>75</v>
      </c>
      <c r="AI78" s="6" t="s">
        <v>75</v>
      </c>
      <c r="AJ78" s="6" t="s">
        <v>75</v>
      </c>
      <c r="AK78" s="6" t="s">
        <v>75</v>
      </c>
      <c r="AL78" s="6" t="s">
        <v>75</v>
      </c>
      <c r="AM78" s="6" t="s">
        <v>75</v>
      </c>
      <c r="AN78" s="6" t="s">
        <v>75</v>
      </c>
      <c r="AO78" s="6" t="s">
        <v>75</v>
      </c>
      <c r="AP78" s="6" t="s">
        <v>75</v>
      </c>
      <c r="AQ78" s="6" t="s">
        <v>75</v>
      </c>
      <c r="AR78" s="6" t="s">
        <v>75</v>
      </c>
      <c r="AS78" s="27" t="s">
        <v>971</v>
      </c>
      <c r="AT78" s="301" t="s">
        <v>972</v>
      </c>
      <c r="AU78" s="259" t="s">
        <v>973</v>
      </c>
      <c r="AV78" s="13" t="s">
        <v>974</v>
      </c>
      <c r="AW78" s="13"/>
      <c r="AX78" s="13"/>
      <c r="AY78" s="90"/>
      <c r="AZ78" s="90"/>
      <c r="BA78" s="90"/>
      <c r="BB78" s="90"/>
      <c r="BC78" s="90"/>
      <c r="BD78" s="90"/>
      <c r="BE78" s="319" t="e">
        <f>VLOOKUP(B78,'TEAMS_30-09-2021'!$D:$AG,30,FALSE)</f>
        <v>#N/A</v>
      </c>
      <c r="BF78" s="319" t="e">
        <f>VLOOKUP(B78,'ENCUESTAS JUN-2021'!I:I,1,FALSE)</f>
        <v>#N/A</v>
      </c>
      <c r="BG78" s="63" t="e">
        <f>VLOOKUP(B78,'TEAMS_30-09-2021'!D:D,1,FALSE)</f>
        <v>#N/A</v>
      </c>
      <c r="BH78" s="13"/>
      <c r="BI78" s="19"/>
      <c r="BL78" s="19" t="e">
        <f t="shared" si="2"/>
        <v>#REF!</v>
      </c>
    </row>
    <row r="79" spans="1:64" ht="24" hidden="1" customHeight="1">
      <c r="A79" s="357">
        <v>78</v>
      </c>
      <c r="B79" s="71" t="s">
        <v>975</v>
      </c>
      <c r="C79" s="252"/>
      <c r="D79" s="63" t="s">
        <v>945</v>
      </c>
      <c r="E79" s="6" t="s">
        <v>976</v>
      </c>
      <c r="F79" s="6" t="s">
        <v>893</v>
      </c>
      <c r="G79" s="219"/>
      <c r="H79" s="209" t="s">
        <v>977</v>
      </c>
      <c r="I79" s="216" t="s">
        <v>104</v>
      </c>
      <c r="J79" s="216" t="s">
        <v>89</v>
      </c>
      <c r="K79" s="209" t="s">
        <v>948</v>
      </c>
      <c r="L79" s="216" t="s">
        <v>141</v>
      </c>
      <c r="M79" s="216" t="s">
        <v>92</v>
      </c>
      <c r="N79" s="6" t="s">
        <v>69</v>
      </c>
      <c r="O79" s="6"/>
      <c r="P79" s="6"/>
      <c r="Q79" s="6"/>
      <c r="R79" s="6" t="s">
        <v>70</v>
      </c>
      <c r="S79" s="150" t="s">
        <v>464</v>
      </c>
      <c r="T79" s="6" t="s">
        <v>72</v>
      </c>
      <c r="U79" s="36">
        <v>1</v>
      </c>
      <c r="V79" s="36">
        <v>10</v>
      </c>
      <c r="W79" s="36" t="s">
        <v>978</v>
      </c>
      <c r="X79" s="36" t="s">
        <v>979</v>
      </c>
      <c r="Y79" s="6" t="s">
        <v>75</v>
      </c>
      <c r="Z79" s="6" t="s">
        <v>76</v>
      </c>
      <c r="AA79" s="6" t="s">
        <v>75</v>
      </c>
      <c r="AB79" s="6" t="s">
        <v>76</v>
      </c>
      <c r="AC79" s="6" t="s">
        <v>75</v>
      </c>
      <c r="AD79" s="6" t="str">
        <f>_xlfn.TEXTJOIN("/",TRUE,IF(OfertaPlazas[[#This Row],[GITST]]="SI","GITST",""),IF(OfertaPlazas[[#This Row],[GIB]]="SI","GIB",""),IF(OfertaPlazas[[#This Row],[GISD]]="SI","GISD",""),IF(OfertaPlazas[[#This Row],[MASTER]]="SI","MASTER",""))</f>
        <v>GIB/MASTER</v>
      </c>
      <c r="AE79" s="6" t="s">
        <v>75</v>
      </c>
      <c r="AF79" s="6" t="s">
        <v>75</v>
      </c>
      <c r="AG79" s="6" t="s">
        <v>75</v>
      </c>
      <c r="AH79" s="6" t="s">
        <v>75</v>
      </c>
      <c r="AI79" s="6" t="s">
        <v>75</v>
      </c>
      <c r="AJ79" s="6" t="s">
        <v>75</v>
      </c>
      <c r="AK79" s="6" t="s">
        <v>75</v>
      </c>
      <c r="AL79" s="6" t="s">
        <v>75</v>
      </c>
      <c r="AM79" s="6" t="s">
        <v>75</v>
      </c>
      <c r="AN79" s="6" t="s">
        <v>75</v>
      </c>
      <c r="AO79" s="6" t="s">
        <v>75</v>
      </c>
      <c r="AP79" s="6" t="s">
        <v>75</v>
      </c>
      <c r="AQ79" s="6" t="s">
        <v>75</v>
      </c>
      <c r="AR79" s="6" t="s">
        <v>76</v>
      </c>
      <c r="AS79" s="185" t="s">
        <v>951</v>
      </c>
      <c r="AT79" s="301"/>
      <c r="AU79" s="349"/>
      <c r="AV79" s="13" t="s">
        <v>813</v>
      </c>
      <c r="AW79" s="13"/>
      <c r="AX79" s="13"/>
      <c r="AY79" s="90"/>
      <c r="AZ79" s="90"/>
      <c r="BA79" s="90"/>
      <c r="BB79" s="90"/>
      <c r="BC79" s="90"/>
      <c r="BD79" s="90"/>
      <c r="BE79" s="319"/>
      <c r="BF79" s="320"/>
      <c r="BG79" s="63"/>
      <c r="BH79" s="13"/>
      <c r="BI79" s="19"/>
      <c r="BL79" s="19" t="e">
        <f t="shared" si="2"/>
        <v>#REF!</v>
      </c>
    </row>
    <row r="80" spans="1:64" ht="24" hidden="1" customHeight="1">
      <c r="A80" s="357">
        <v>79</v>
      </c>
      <c r="B80" s="13" t="s">
        <v>980</v>
      </c>
      <c r="C80" s="252" t="s">
        <v>981</v>
      </c>
      <c r="D80" s="63" t="s">
        <v>982</v>
      </c>
      <c r="E80" s="54" t="s">
        <v>983</v>
      </c>
      <c r="F80" s="6" t="s">
        <v>893</v>
      </c>
      <c r="G80" s="6"/>
      <c r="H80" s="209" t="s">
        <v>947</v>
      </c>
      <c r="I80" s="216" t="s">
        <v>139</v>
      </c>
      <c r="J80" s="216" t="s">
        <v>90</v>
      </c>
      <c r="K80" s="209" t="s">
        <v>948</v>
      </c>
      <c r="L80" s="216" t="s">
        <v>141</v>
      </c>
      <c r="M80" s="306" t="s">
        <v>92</v>
      </c>
      <c r="N80" s="6" t="s">
        <v>69</v>
      </c>
      <c r="O80" s="6" t="s">
        <v>70</v>
      </c>
      <c r="P80" s="6"/>
      <c r="Q80" s="6" t="s">
        <v>70</v>
      </c>
      <c r="R80" s="6" t="s">
        <v>70</v>
      </c>
      <c r="S80" s="150" t="s">
        <v>984</v>
      </c>
      <c r="T80" s="6" t="s">
        <v>72</v>
      </c>
      <c r="U80" s="36">
        <v>4</v>
      </c>
      <c r="V80" s="36">
        <v>12</v>
      </c>
      <c r="W80" s="36" t="s">
        <v>985</v>
      </c>
      <c r="X80" s="36" t="s">
        <v>125</v>
      </c>
      <c r="Y80" s="6" t="s">
        <v>75</v>
      </c>
      <c r="Z80" s="6" t="s">
        <v>75</v>
      </c>
      <c r="AA80" s="6" t="s">
        <v>75</v>
      </c>
      <c r="AB80" s="6" t="s">
        <v>75</v>
      </c>
      <c r="AC80" s="6" t="s">
        <v>75</v>
      </c>
      <c r="AD80" s="6" t="str">
        <f>_xlfn.TEXTJOIN("/",TRUE,IF(OfertaPlazas[[#This Row],[GITST]]="SI","GITST",""),IF(OfertaPlazas[[#This Row],[GIB]]="SI","GIB",""),IF(OfertaPlazas[[#This Row],[GISD]]="SI","GISD",""),IF(OfertaPlazas[[#This Row],[MASTER]]="SI","MASTER",""))</f>
        <v>GITST/GIB/GISD/MASTER</v>
      </c>
      <c r="AE80" s="6" t="s">
        <v>75</v>
      </c>
      <c r="AF80" s="6" t="s">
        <v>75</v>
      </c>
      <c r="AG80" s="6" t="s">
        <v>75</v>
      </c>
      <c r="AH80" s="16" t="s">
        <v>75</v>
      </c>
      <c r="AI80" s="16" t="s">
        <v>75</v>
      </c>
      <c r="AJ80" s="16" t="s">
        <v>75</v>
      </c>
      <c r="AK80" s="16" t="s">
        <v>75</v>
      </c>
      <c r="AL80" s="16" t="s">
        <v>75</v>
      </c>
      <c r="AM80" s="16" t="s">
        <v>75</v>
      </c>
      <c r="AN80" s="16" t="s">
        <v>75</v>
      </c>
      <c r="AO80" s="6" t="s">
        <v>75</v>
      </c>
      <c r="AP80" s="6" t="s">
        <v>75</v>
      </c>
      <c r="AQ80" s="6" t="s">
        <v>75</v>
      </c>
      <c r="AR80" s="6" t="s">
        <v>76</v>
      </c>
      <c r="AS80" s="27" t="s">
        <v>911</v>
      </c>
      <c r="AT80" s="301"/>
      <c r="AU80" s="13" t="s">
        <v>986</v>
      </c>
      <c r="AV80" s="13" t="s">
        <v>987</v>
      </c>
      <c r="AW80" s="13"/>
      <c r="AX80" s="13"/>
      <c r="AY80" s="90"/>
      <c r="AZ80" s="90"/>
      <c r="BA80" s="90"/>
      <c r="BB80" s="90"/>
      <c r="BC80" s="90"/>
      <c r="BD80" s="90"/>
      <c r="BE80" s="319">
        <f>VLOOKUP(B80,'TEAMS_30-09-2021'!$D:$AG,30,FALSE)</f>
        <v>0</v>
      </c>
      <c r="BF80" s="319" t="e">
        <f>VLOOKUP(B80,'ENCUESTAS JUN-2021'!I:I,1,FALSE)</f>
        <v>#N/A</v>
      </c>
      <c r="BG80" s="63" t="str">
        <f>VLOOKUP(B80,'TEAMS_30-09-2021'!D:D,1,FALSE)</f>
        <v>Universitá degli Studi di Pavia</v>
      </c>
      <c r="BH80" s="13"/>
      <c r="BI80" s="19"/>
      <c r="BL80" s="19" t="e">
        <f t="shared" si="2"/>
        <v>#REF!</v>
      </c>
    </row>
    <row r="81" spans="1:64" ht="24" hidden="1" customHeight="1">
      <c r="A81" s="357">
        <v>80</v>
      </c>
      <c r="B81" s="13" t="s">
        <v>988</v>
      </c>
      <c r="C81" s="252" t="s">
        <v>989</v>
      </c>
      <c r="D81" s="63" t="s">
        <v>945</v>
      </c>
      <c r="E81" s="6" t="s">
        <v>990</v>
      </c>
      <c r="F81" s="6" t="s">
        <v>893</v>
      </c>
      <c r="G81" s="219"/>
      <c r="H81" s="220" t="s">
        <v>991</v>
      </c>
      <c r="I81" s="216" t="s">
        <v>89</v>
      </c>
      <c r="J81" s="216" t="s">
        <v>90</v>
      </c>
      <c r="K81" s="216"/>
      <c r="L81" s="216"/>
      <c r="M81" s="216"/>
      <c r="N81" s="6" t="s">
        <v>69</v>
      </c>
      <c r="O81" s="219"/>
      <c r="P81" s="6" t="s">
        <v>70</v>
      </c>
      <c r="Q81" s="219"/>
      <c r="R81" s="6" t="s">
        <v>70</v>
      </c>
      <c r="S81" s="150" t="s">
        <v>123</v>
      </c>
      <c r="T81" s="6" t="s">
        <v>72</v>
      </c>
      <c r="U81" s="36">
        <v>2</v>
      </c>
      <c r="V81" s="36">
        <v>10</v>
      </c>
      <c r="W81" s="36" t="s">
        <v>992</v>
      </c>
      <c r="X81" s="36" t="s">
        <v>993</v>
      </c>
      <c r="Y81" s="6" t="s">
        <v>75</v>
      </c>
      <c r="Z81" s="6" t="s">
        <v>75</v>
      </c>
      <c r="AA81" s="6" t="s">
        <v>75</v>
      </c>
      <c r="AB81" s="6" t="s">
        <v>76</v>
      </c>
      <c r="AC81" s="6" t="s">
        <v>75</v>
      </c>
      <c r="AD81" s="6" t="str">
        <f>_xlfn.TEXTJOIN("/",TRUE,IF(OfertaPlazas[[#This Row],[GITST]]="SI","GITST",""),IF(OfertaPlazas[[#This Row],[GIB]]="SI","GIB",""),IF(OfertaPlazas[[#This Row],[GISD]]="SI","GISD",""),IF(OfertaPlazas[[#This Row],[MASTER]]="SI","MASTER",""))</f>
        <v>GITST/GIB/MASTER</v>
      </c>
      <c r="AE81" s="6" t="s">
        <v>75</v>
      </c>
      <c r="AF81" s="6" t="s">
        <v>75</v>
      </c>
      <c r="AG81" s="6" t="s">
        <v>75</v>
      </c>
      <c r="AH81" s="6" t="s">
        <v>75</v>
      </c>
      <c r="AI81" s="6" t="s">
        <v>75</v>
      </c>
      <c r="AJ81" s="6" t="s">
        <v>75</v>
      </c>
      <c r="AK81" s="6" t="s">
        <v>75</v>
      </c>
      <c r="AL81" s="6" t="s">
        <v>75</v>
      </c>
      <c r="AM81" s="6" t="s">
        <v>75</v>
      </c>
      <c r="AN81" s="6" t="s">
        <v>75</v>
      </c>
      <c r="AO81" s="6" t="s">
        <v>75</v>
      </c>
      <c r="AP81" s="6" t="s">
        <v>76</v>
      </c>
      <c r="AQ81" s="6" t="s">
        <v>76</v>
      </c>
      <c r="AR81" s="6" t="s">
        <v>76</v>
      </c>
      <c r="AS81" s="185" t="s">
        <v>951</v>
      </c>
      <c r="AT81" s="301"/>
      <c r="AU81" s="5" t="s">
        <v>994</v>
      </c>
      <c r="AV81" s="3"/>
      <c r="AW81" s="3"/>
      <c r="AX81" s="3"/>
      <c r="AY81" s="3"/>
      <c r="AZ81" s="3"/>
      <c r="BA81" s="3"/>
      <c r="BB81" s="3"/>
      <c r="BC81" s="3"/>
      <c r="BD81" s="3" t="s">
        <v>995</v>
      </c>
      <c r="BE81" s="348"/>
      <c r="BF81" s="348"/>
      <c r="BG81" s="350"/>
      <c r="BH81" s="13"/>
      <c r="BI81" s="19"/>
      <c r="BL81" s="19" t="e">
        <f t="shared" si="2"/>
        <v>#REF!</v>
      </c>
    </row>
    <row r="82" spans="1:64" s="19" customFormat="1" ht="20.100000000000001" hidden="1" customHeight="1">
      <c r="A82" s="357">
        <v>81</v>
      </c>
      <c r="B82" s="13" t="s">
        <v>996</v>
      </c>
      <c r="C82" s="252" t="s">
        <v>996</v>
      </c>
      <c r="D82" s="63" t="s">
        <v>997</v>
      </c>
      <c r="E82" s="6" t="s">
        <v>998</v>
      </c>
      <c r="F82" s="6" t="s">
        <v>893</v>
      </c>
      <c r="G82" s="36" t="s">
        <v>336</v>
      </c>
      <c r="H82" s="220" t="s">
        <v>999</v>
      </c>
      <c r="I82" s="216" t="s">
        <v>808</v>
      </c>
      <c r="J82" s="216" t="s">
        <v>1000</v>
      </c>
      <c r="K82" s="220" t="s">
        <v>690</v>
      </c>
      <c r="L82" s="216" t="s">
        <v>300</v>
      </c>
      <c r="M82" s="216" t="s">
        <v>300</v>
      </c>
      <c r="N82" s="6" t="s">
        <v>69</v>
      </c>
      <c r="O82" s="3"/>
      <c r="P82" s="6" t="s">
        <v>70</v>
      </c>
      <c r="Q82" s="6" t="s">
        <v>70</v>
      </c>
      <c r="R82" s="6" t="s">
        <v>70</v>
      </c>
      <c r="S82" s="150" t="s">
        <v>920</v>
      </c>
      <c r="T82" s="6" t="s">
        <v>72</v>
      </c>
      <c r="U82" s="36">
        <v>8</v>
      </c>
      <c r="V82" s="36">
        <v>12</v>
      </c>
      <c r="W82" s="36" t="s">
        <v>1001</v>
      </c>
      <c r="X82" s="36" t="s">
        <v>125</v>
      </c>
      <c r="Y82" s="6" t="s">
        <v>75</v>
      </c>
      <c r="Z82" s="6" t="s">
        <v>75</v>
      </c>
      <c r="AA82" s="6" t="s">
        <v>75</v>
      </c>
      <c r="AB82" s="6" t="s">
        <v>75</v>
      </c>
      <c r="AC82" s="6" t="s">
        <v>75</v>
      </c>
      <c r="AD82" s="6" t="str">
        <f>_xlfn.TEXTJOIN("/",TRUE,IF(OfertaPlazas[[#This Row],[GITST]]="SI","GITST",""),IF(OfertaPlazas[[#This Row],[GIB]]="SI","GIB",""),IF(OfertaPlazas[[#This Row],[GISD]]="SI","GISD",""),IF(OfertaPlazas[[#This Row],[MASTER]]="SI","MASTER",""))</f>
        <v>GITST/GIB/GISD/MASTER</v>
      </c>
      <c r="AE82" s="6" t="s">
        <v>75</v>
      </c>
      <c r="AF82" s="6" t="s">
        <v>75</v>
      </c>
      <c r="AG82" s="6" t="s">
        <v>75</v>
      </c>
      <c r="AH82" s="6" t="s">
        <v>75</v>
      </c>
      <c r="AI82" s="6" t="s">
        <v>75</v>
      </c>
      <c r="AJ82" s="6" t="s">
        <v>75</v>
      </c>
      <c r="AK82" s="6" t="s">
        <v>75</v>
      </c>
      <c r="AL82" s="6" t="s">
        <v>75</v>
      </c>
      <c r="AM82" s="6" t="s">
        <v>75</v>
      </c>
      <c r="AN82" s="6" t="s">
        <v>75</v>
      </c>
      <c r="AO82" s="6" t="s">
        <v>75</v>
      </c>
      <c r="AP82" s="6" t="s">
        <v>75</v>
      </c>
      <c r="AQ82" s="6" t="s">
        <v>75</v>
      </c>
      <c r="AR82" s="6" t="s">
        <v>75</v>
      </c>
      <c r="AS82" s="353" t="s">
        <v>1002</v>
      </c>
      <c r="AT82" s="301" t="s">
        <v>1003</v>
      </c>
      <c r="AU82" s="360" t="s">
        <v>1004</v>
      </c>
      <c r="AV82" s="27" t="s">
        <v>1005</v>
      </c>
      <c r="AW82" s="185"/>
      <c r="AX82" s="3"/>
      <c r="AY82" s="3"/>
      <c r="AZ82" s="3"/>
      <c r="BA82" s="3"/>
      <c r="BB82" s="3"/>
      <c r="BC82" s="3"/>
      <c r="BD82" s="3"/>
      <c r="BE82" s="348"/>
      <c r="BF82" s="348"/>
      <c r="BG82" s="350"/>
      <c r="BH82" s="13"/>
      <c r="BL82" s="19" t="e">
        <f t="shared" si="2"/>
        <v>#REF!</v>
      </c>
    </row>
    <row r="83" spans="1:64" s="19" customFormat="1" ht="20.100000000000001" hidden="1" customHeight="1">
      <c r="A83" s="357">
        <v>82</v>
      </c>
      <c r="B83" s="13" t="s">
        <v>1006</v>
      </c>
      <c r="C83" s="252" t="s">
        <v>1007</v>
      </c>
      <c r="D83" s="63" t="s">
        <v>1008</v>
      </c>
      <c r="E83" s="6" t="s">
        <v>1009</v>
      </c>
      <c r="F83" s="6" t="s">
        <v>893</v>
      </c>
      <c r="G83" s="6"/>
      <c r="H83" s="209" t="s">
        <v>181</v>
      </c>
      <c r="I83" s="216" t="s">
        <v>139</v>
      </c>
      <c r="J83" s="216" t="s">
        <v>118</v>
      </c>
      <c r="K83" s="209" t="s">
        <v>478</v>
      </c>
      <c r="L83" s="216" t="s">
        <v>141</v>
      </c>
      <c r="M83" s="216" t="s">
        <v>193</v>
      </c>
      <c r="N83" s="6" t="s">
        <v>69</v>
      </c>
      <c r="O83" s="6"/>
      <c r="P83" s="6" t="s">
        <v>70</v>
      </c>
      <c r="Q83" s="6"/>
      <c r="R83" s="6"/>
      <c r="S83" s="150" t="s">
        <v>194</v>
      </c>
      <c r="T83" s="6" t="s">
        <v>72</v>
      </c>
      <c r="U83" s="36">
        <v>1</v>
      </c>
      <c r="V83" s="36">
        <v>12</v>
      </c>
      <c r="W83" s="36" t="s">
        <v>1010</v>
      </c>
      <c r="X83" s="36" t="s">
        <v>125</v>
      </c>
      <c r="Y83" s="6" t="s">
        <v>75</v>
      </c>
      <c r="Z83" s="6" t="s">
        <v>75</v>
      </c>
      <c r="AA83" s="6" t="s">
        <v>76</v>
      </c>
      <c r="AB83" s="6" t="s">
        <v>76</v>
      </c>
      <c r="AC83" s="6" t="s">
        <v>75</v>
      </c>
      <c r="AD83" s="6" t="str">
        <f>_xlfn.TEXTJOIN("/",TRUE,IF(OfertaPlazas[[#This Row],[GITST]]="SI","GITST",""),IF(OfertaPlazas[[#This Row],[GIB]]="SI","GIB",""),IF(OfertaPlazas[[#This Row],[GISD]]="SI","GISD",""),IF(OfertaPlazas[[#This Row],[MASTER]]="SI","MASTER",""))</f>
        <v>GITST/MASTER</v>
      </c>
      <c r="AE83" s="6" t="s">
        <v>75</v>
      </c>
      <c r="AF83" s="6" t="s">
        <v>75</v>
      </c>
      <c r="AG83" s="6" t="s">
        <v>75</v>
      </c>
      <c r="AH83" s="6" t="s">
        <v>75</v>
      </c>
      <c r="AI83" s="6" t="s">
        <v>75</v>
      </c>
      <c r="AJ83" s="6" t="s">
        <v>75</v>
      </c>
      <c r="AK83" s="6" t="s">
        <v>75</v>
      </c>
      <c r="AL83" s="6" t="s">
        <v>75</v>
      </c>
      <c r="AM83" s="6" t="s">
        <v>75</v>
      </c>
      <c r="AN83" s="6" t="s">
        <v>75</v>
      </c>
      <c r="AO83" s="6" t="s">
        <v>75</v>
      </c>
      <c r="AP83" s="6" t="s">
        <v>75</v>
      </c>
      <c r="AQ83" s="6" t="s">
        <v>75</v>
      </c>
      <c r="AR83" s="6" t="s">
        <v>76</v>
      </c>
      <c r="AS83" s="27" t="s">
        <v>971</v>
      </c>
      <c r="AT83" s="301" t="s">
        <v>1011</v>
      </c>
      <c r="AU83" s="13" t="s">
        <v>1012</v>
      </c>
      <c r="AV83" s="13" t="s">
        <v>1013</v>
      </c>
      <c r="AW83" s="13"/>
      <c r="AX83" s="13"/>
      <c r="AY83" s="90"/>
      <c r="AZ83" s="90"/>
      <c r="BA83" s="90"/>
      <c r="BB83" s="90"/>
      <c r="BC83" s="90"/>
      <c r="BD83" s="90"/>
      <c r="BE83" s="319">
        <f>VLOOKUP(B83,'TEAMS_30-09-2021'!$D:$AG,30,FALSE)</f>
        <v>0</v>
      </c>
      <c r="BF83" s="319" t="e">
        <f>VLOOKUP(B83,'ENCUESTAS JUN-2021'!I:I,1,FALSE)</f>
        <v>#N/A</v>
      </c>
      <c r="BG83" s="63" t="str">
        <f>VLOOKUP(B83,'TEAMS_30-09-2021'!D:D,1,FALSE)</f>
        <v>Università degli Studi di Trento</v>
      </c>
      <c r="BH83" s="13"/>
      <c r="BL83" s="19" t="e">
        <f t="shared" si="2"/>
        <v>#REF!</v>
      </c>
    </row>
    <row r="84" spans="1:64" s="19" customFormat="1" ht="20.100000000000001" hidden="1" customHeight="1">
      <c r="A84" s="357">
        <v>83</v>
      </c>
      <c r="B84" s="13" t="s">
        <v>1014</v>
      </c>
      <c r="C84" s="252" t="s">
        <v>1015</v>
      </c>
      <c r="D84" s="63" t="s">
        <v>1016</v>
      </c>
      <c r="E84" s="6" t="s">
        <v>1017</v>
      </c>
      <c r="F84" s="6" t="s">
        <v>1018</v>
      </c>
      <c r="G84" s="6"/>
      <c r="H84" s="209" t="s">
        <v>1019</v>
      </c>
      <c r="I84" s="216" t="s">
        <v>104</v>
      </c>
      <c r="J84" s="216" t="s">
        <v>118</v>
      </c>
      <c r="K84" s="209" t="s">
        <v>1020</v>
      </c>
      <c r="L84" s="216" t="s">
        <v>106</v>
      </c>
      <c r="M84" s="216" t="s">
        <v>193</v>
      </c>
      <c r="N84" s="6" t="s">
        <v>69</v>
      </c>
      <c r="O84" s="6"/>
      <c r="P84" s="6" t="s">
        <v>70</v>
      </c>
      <c r="Q84" s="6"/>
      <c r="R84" s="6"/>
      <c r="S84" s="150" t="s">
        <v>194</v>
      </c>
      <c r="T84" s="6" t="s">
        <v>72</v>
      </c>
      <c r="U84" s="36">
        <v>1</v>
      </c>
      <c r="V84" s="36">
        <v>6</v>
      </c>
      <c r="W84" s="36" t="s">
        <v>1021</v>
      </c>
      <c r="X84" s="36" t="s">
        <v>1022</v>
      </c>
      <c r="Y84" s="6" t="s">
        <v>75</v>
      </c>
      <c r="Z84" s="6" t="s">
        <v>75</v>
      </c>
      <c r="AA84" s="6" t="s">
        <v>76</v>
      </c>
      <c r="AB84" s="6" t="s">
        <v>76</v>
      </c>
      <c r="AC84" s="6" t="s">
        <v>75</v>
      </c>
      <c r="AD84" s="6" t="str">
        <f>_xlfn.TEXTJOIN("/",TRUE,IF(OfertaPlazas[[#This Row],[GITST]]="SI","GITST",""),IF(OfertaPlazas[[#This Row],[GIB]]="SI","GIB",""),IF(OfertaPlazas[[#This Row],[GISD]]="SI","GISD",""),IF(OfertaPlazas[[#This Row],[MASTER]]="SI","MASTER",""))</f>
        <v>GITST/MASTER</v>
      </c>
      <c r="AE84" s="6" t="s">
        <v>75</v>
      </c>
      <c r="AF84" s="6" t="s">
        <v>75</v>
      </c>
      <c r="AG84" s="6" t="s">
        <v>76</v>
      </c>
      <c r="AH84" s="6" t="s">
        <v>75</v>
      </c>
      <c r="AI84" s="16" t="s">
        <v>75</v>
      </c>
      <c r="AJ84" s="16" t="s">
        <v>75</v>
      </c>
      <c r="AK84" s="16" t="s">
        <v>75</v>
      </c>
      <c r="AL84" s="16" t="s">
        <v>76</v>
      </c>
      <c r="AM84" s="16" t="s">
        <v>76</v>
      </c>
      <c r="AN84" s="16" t="s">
        <v>75</v>
      </c>
      <c r="AO84" s="6" t="s">
        <v>75</v>
      </c>
      <c r="AP84" s="6" t="s">
        <v>76</v>
      </c>
      <c r="AQ84" s="6" t="s">
        <v>76</v>
      </c>
      <c r="AR84" s="6" t="s">
        <v>76</v>
      </c>
      <c r="AS84" s="185" t="s">
        <v>173</v>
      </c>
      <c r="AT84" s="301"/>
      <c r="AU84" s="13"/>
      <c r="AV84" s="13" t="s">
        <v>1023</v>
      </c>
      <c r="AW84" s="13"/>
      <c r="AX84" s="13"/>
      <c r="AY84" s="92" t="s">
        <v>129</v>
      </c>
      <c r="AZ84" s="92" t="s">
        <v>1024</v>
      </c>
      <c r="BA84" s="92"/>
      <c r="BB84" s="92"/>
      <c r="BC84" s="92" t="s">
        <v>731</v>
      </c>
      <c r="BD84" s="92"/>
      <c r="BE84" s="319" t="e">
        <f>VLOOKUP(B84,'TEAMS_30-09-2021'!$D:$AG,30,FALSE)</f>
        <v>#N/A</v>
      </c>
      <c r="BF84" s="319" t="e">
        <f>VLOOKUP(B84,'ENCUESTAS JUN-2021'!I:I,1,FALSE)</f>
        <v>#N/A</v>
      </c>
      <c r="BG84" s="63" t="e">
        <f>VLOOKUP(B84,'TEAMS_30-09-2021'!D:D,1,FALSE)</f>
        <v>#N/A</v>
      </c>
      <c r="BH84" s="13"/>
      <c r="BL84" s="19" t="e">
        <f t="shared" si="2"/>
        <v>#REF!</v>
      </c>
    </row>
    <row r="85" spans="1:64" s="19" customFormat="1" ht="20.100000000000001" hidden="1" customHeight="1">
      <c r="A85" s="357">
        <v>84</v>
      </c>
      <c r="B85" s="13" t="s">
        <v>1025</v>
      </c>
      <c r="C85" s="252" t="s">
        <v>1026</v>
      </c>
      <c r="D85" s="63" t="s">
        <v>1027</v>
      </c>
      <c r="E85" s="6" t="s">
        <v>1028</v>
      </c>
      <c r="F85" s="6" t="s">
        <v>1029</v>
      </c>
      <c r="G85" s="6"/>
      <c r="H85" s="209" t="s">
        <v>505</v>
      </c>
      <c r="I85" s="216" t="s">
        <v>139</v>
      </c>
      <c r="J85" s="216" t="s">
        <v>139</v>
      </c>
      <c r="K85" s="209"/>
      <c r="L85" s="216" t="s">
        <v>139</v>
      </c>
      <c r="M85" s="216"/>
      <c r="N85" s="6" t="s">
        <v>69</v>
      </c>
      <c r="O85" s="6"/>
      <c r="P85" s="6"/>
      <c r="Q85" s="6" t="s">
        <v>70</v>
      </c>
      <c r="R85" s="6"/>
      <c r="S85" s="150" t="s">
        <v>1030</v>
      </c>
      <c r="T85" s="6" t="s">
        <v>72</v>
      </c>
      <c r="U85" s="36">
        <v>2</v>
      </c>
      <c r="V85" s="36">
        <v>12</v>
      </c>
      <c r="W85" s="36" t="s">
        <v>1031</v>
      </c>
      <c r="X85" s="36" t="s">
        <v>125</v>
      </c>
      <c r="Y85" s="6" t="s">
        <v>75</v>
      </c>
      <c r="Z85" s="6" t="s">
        <v>75</v>
      </c>
      <c r="AA85" s="6" t="s">
        <v>76</v>
      </c>
      <c r="AB85" s="6" t="s">
        <v>75</v>
      </c>
      <c r="AC85" s="6" t="s">
        <v>75</v>
      </c>
      <c r="AD85" s="6" t="str">
        <f>_xlfn.TEXTJOIN("/",TRUE,IF(OfertaPlazas[[#This Row],[GITST]]="SI","GITST",""),IF(OfertaPlazas[[#This Row],[GIB]]="SI","GIB",""),IF(OfertaPlazas[[#This Row],[GISD]]="SI","GISD",""),IF(OfertaPlazas[[#This Row],[MASTER]]="SI","MASTER",""))</f>
        <v>GITST/GISD/MASTER</v>
      </c>
      <c r="AE85" s="6" t="s">
        <v>75</v>
      </c>
      <c r="AF85" s="6" t="s">
        <v>75</v>
      </c>
      <c r="AG85" s="6" t="s">
        <v>75</v>
      </c>
      <c r="AH85" s="6" t="s">
        <v>75</v>
      </c>
      <c r="AI85" s="6" t="s">
        <v>75</v>
      </c>
      <c r="AJ85" s="6" t="s">
        <v>75</v>
      </c>
      <c r="AK85" s="6" t="s">
        <v>75</v>
      </c>
      <c r="AL85" s="6" t="s">
        <v>75</v>
      </c>
      <c r="AM85" s="6" t="s">
        <v>75</v>
      </c>
      <c r="AN85" s="6" t="s">
        <v>75</v>
      </c>
      <c r="AO85" s="6" t="s">
        <v>75</v>
      </c>
      <c r="AP85" s="6" t="s">
        <v>75</v>
      </c>
      <c r="AQ85" s="6" t="s">
        <v>75</v>
      </c>
      <c r="AR85" s="6" t="s">
        <v>76</v>
      </c>
      <c r="AS85" s="185" t="s">
        <v>173</v>
      </c>
      <c r="AT85" s="301"/>
      <c r="AU85" s="302"/>
      <c r="AV85" s="13"/>
      <c r="AW85" s="13"/>
      <c r="AX85" s="13"/>
      <c r="AY85" s="92" t="s">
        <v>129</v>
      </c>
      <c r="AZ85" s="92" t="s">
        <v>1032</v>
      </c>
      <c r="BA85" s="92"/>
      <c r="BB85" s="94" t="s">
        <v>1033</v>
      </c>
      <c r="BC85" s="92" t="s">
        <v>731</v>
      </c>
      <c r="BD85" s="92"/>
      <c r="BE85" s="319">
        <f>VLOOKUP(B85,'TEAMS_30-09-2021'!$D:$AG,30,FALSE)</f>
        <v>0</v>
      </c>
      <c r="BF85" s="319" t="e">
        <f>VLOOKUP(B85,'ENCUESTAS JUN-2021'!I:I,1,FALSE)</f>
        <v>#N/A</v>
      </c>
      <c r="BG85" s="63" t="str">
        <f>VLOOKUP(B85,'TEAMS_30-09-2021'!D:D,1,FALSE)</f>
        <v>Ss. Cyril and Methodius University in Skopje</v>
      </c>
      <c r="BH85" s="13"/>
      <c r="BL85" s="19" t="e">
        <f t="shared" si="2"/>
        <v>#REF!</v>
      </c>
    </row>
    <row r="86" spans="1:64" s="19" customFormat="1" ht="20.100000000000001" hidden="1" customHeight="1">
      <c r="A86" s="357">
        <v>85</v>
      </c>
      <c r="B86" s="13" t="s">
        <v>1034</v>
      </c>
      <c r="C86" s="252" t="s">
        <v>1035</v>
      </c>
      <c r="D86" s="63" t="s">
        <v>1036</v>
      </c>
      <c r="E86" s="54" t="s">
        <v>1037</v>
      </c>
      <c r="F86" s="6" t="s">
        <v>76</v>
      </c>
      <c r="G86" s="6"/>
      <c r="H86" s="209" t="s">
        <v>1038</v>
      </c>
      <c r="I86" s="216" t="s">
        <v>89</v>
      </c>
      <c r="J86" s="216" t="s">
        <v>89</v>
      </c>
      <c r="K86" s="209" t="s">
        <v>1039</v>
      </c>
      <c r="L86" s="222" t="s">
        <v>141</v>
      </c>
      <c r="M86" s="216"/>
      <c r="N86" s="6" t="s">
        <v>69</v>
      </c>
      <c r="O86" s="6"/>
      <c r="P86" s="6" t="s">
        <v>70</v>
      </c>
      <c r="Q86" s="6"/>
      <c r="R86" s="6"/>
      <c r="S86" s="150" t="s">
        <v>194</v>
      </c>
      <c r="T86" s="6" t="s">
        <v>72</v>
      </c>
      <c r="U86" s="36">
        <v>2</v>
      </c>
      <c r="V86" s="36">
        <v>12</v>
      </c>
      <c r="W86" s="36" t="s">
        <v>1040</v>
      </c>
      <c r="X86" s="36" t="s">
        <v>125</v>
      </c>
      <c r="Y86" s="6" t="s">
        <v>75</v>
      </c>
      <c r="Z86" s="6" t="s">
        <v>75</v>
      </c>
      <c r="AA86" s="6" t="s">
        <v>76</v>
      </c>
      <c r="AB86" s="6" t="s">
        <v>76</v>
      </c>
      <c r="AC86" s="6" t="s">
        <v>75</v>
      </c>
      <c r="AD86" s="6" t="str">
        <f>_xlfn.TEXTJOIN("/",TRUE,IF(OfertaPlazas[[#This Row],[GITST]]="SI","GITST",""),IF(OfertaPlazas[[#This Row],[GIB]]="SI","GIB",""),IF(OfertaPlazas[[#This Row],[GISD]]="SI","GISD",""),IF(OfertaPlazas[[#This Row],[MASTER]]="SI","MASTER",""))</f>
        <v>GITST/MASTER</v>
      </c>
      <c r="AE86" s="6" t="s">
        <v>76</v>
      </c>
      <c r="AF86" s="6" t="s">
        <v>76</v>
      </c>
      <c r="AG86" s="6" t="s">
        <v>76</v>
      </c>
      <c r="AH86" s="16" t="s">
        <v>76</v>
      </c>
      <c r="AI86" s="16" t="s">
        <v>76</v>
      </c>
      <c r="AJ86" s="16" t="s">
        <v>76</v>
      </c>
      <c r="AK86" s="16" t="s">
        <v>76</v>
      </c>
      <c r="AL86" s="16" t="s">
        <v>76</v>
      </c>
      <c r="AM86" s="16" t="s">
        <v>76</v>
      </c>
      <c r="AN86" s="16" t="s">
        <v>75</v>
      </c>
      <c r="AO86" s="6" t="s">
        <v>75</v>
      </c>
      <c r="AP86" s="6" t="s">
        <v>75</v>
      </c>
      <c r="AQ86" s="6" t="s">
        <v>75</v>
      </c>
      <c r="AR86" s="6" t="s">
        <v>76</v>
      </c>
      <c r="AS86" s="27" t="s">
        <v>211</v>
      </c>
      <c r="AT86" s="301" t="s">
        <v>1041</v>
      </c>
      <c r="AU86" s="303"/>
      <c r="AV86" s="13"/>
      <c r="AW86" s="13"/>
      <c r="AX86" s="13"/>
      <c r="AY86" s="92" t="s">
        <v>129</v>
      </c>
      <c r="AZ86" s="92" t="s">
        <v>1042</v>
      </c>
      <c r="BA86" s="92"/>
      <c r="BB86" s="92"/>
      <c r="BC86" s="92" t="s">
        <v>731</v>
      </c>
      <c r="BD86" s="92"/>
      <c r="BE86" s="319" t="e">
        <f>VLOOKUP(B86,'TEAMS_30-09-2021'!$D:$AG,30,FALSE)</f>
        <v>#N/A</v>
      </c>
      <c r="BF86" s="319" t="e">
        <f>VLOOKUP(B86,'ENCUESTAS JUN-2021'!I:I,1,FALSE)</f>
        <v>#N/A</v>
      </c>
      <c r="BG86" s="63" t="e">
        <f>VLOOKUP(B86,'TEAMS_30-09-2021'!D:D,1,FALSE)</f>
        <v>#N/A</v>
      </c>
      <c r="BH86" s="13"/>
      <c r="BL86" s="19" t="e">
        <f t="shared" si="2"/>
        <v>#REF!</v>
      </c>
    </row>
    <row r="87" spans="1:64" s="19" customFormat="1" ht="20.100000000000001" hidden="1" customHeight="1">
      <c r="A87" s="357">
        <v>86</v>
      </c>
      <c r="B87" s="13" t="s">
        <v>1043</v>
      </c>
      <c r="C87" s="252" t="s">
        <v>1044</v>
      </c>
      <c r="D87" s="63" t="s">
        <v>1045</v>
      </c>
      <c r="E87" s="6" t="s">
        <v>1046</v>
      </c>
      <c r="F87" s="6" t="s">
        <v>76</v>
      </c>
      <c r="G87" s="6"/>
      <c r="H87" s="209" t="s">
        <v>1047</v>
      </c>
      <c r="I87" s="216" t="s">
        <v>153</v>
      </c>
      <c r="J87" s="216" t="s">
        <v>104</v>
      </c>
      <c r="K87" s="209" t="s">
        <v>1048</v>
      </c>
      <c r="L87" s="216" t="s">
        <v>1049</v>
      </c>
      <c r="M87" s="216"/>
      <c r="N87" s="6" t="s">
        <v>69</v>
      </c>
      <c r="O87" s="6"/>
      <c r="P87" s="6" t="s">
        <v>70</v>
      </c>
      <c r="Q87" s="6"/>
      <c r="R87" s="6"/>
      <c r="S87" s="150" t="s">
        <v>194</v>
      </c>
      <c r="T87" s="6" t="s">
        <v>72</v>
      </c>
      <c r="U87" s="36">
        <v>2</v>
      </c>
      <c r="V87" s="36">
        <v>12</v>
      </c>
      <c r="W87" s="36" t="s">
        <v>1050</v>
      </c>
      <c r="X87" s="36" t="s">
        <v>125</v>
      </c>
      <c r="Y87" s="6" t="s">
        <v>75</v>
      </c>
      <c r="Z87" s="6" t="s">
        <v>75</v>
      </c>
      <c r="AA87" s="6" t="s">
        <v>76</v>
      </c>
      <c r="AB87" s="6" t="s">
        <v>76</v>
      </c>
      <c r="AC87" s="6" t="s">
        <v>75</v>
      </c>
      <c r="AD87" s="6" t="str">
        <f>_xlfn.TEXTJOIN("/",TRUE,IF(OfertaPlazas[[#This Row],[GITST]]="SI","GITST",""),IF(OfertaPlazas[[#This Row],[GIB]]="SI","GIB",""),IF(OfertaPlazas[[#This Row],[GISD]]="SI","GISD",""),IF(OfertaPlazas[[#This Row],[MASTER]]="SI","MASTER",""))</f>
        <v>GITST/MASTER</v>
      </c>
      <c r="AE87" s="16" t="s">
        <v>75</v>
      </c>
      <c r="AF87" s="16" t="s">
        <v>75</v>
      </c>
      <c r="AG87" s="16" t="s">
        <v>75</v>
      </c>
      <c r="AH87" s="16" t="s">
        <v>75</v>
      </c>
      <c r="AI87" s="16" t="s">
        <v>75</v>
      </c>
      <c r="AJ87" s="16" t="s">
        <v>75</v>
      </c>
      <c r="AK87" s="16" t="s">
        <v>75</v>
      </c>
      <c r="AL87" s="16" t="s">
        <v>75</v>
      </c>
      <c r="AM87" s="16" t="s">
        <v>75</v>
      </c>
      <c r="AN87" s="16" t="s">
        <v>75</v>
      </c>
      <c r="AO87" s="6" t="s">
        <v>75</v>
      </c>
      <c r="AP87" s="6" t="s">
        <v>75</v>
      </c>
      <c r="AQ87" s="6" t="s">
        <v>75</v>
      </c>
      <c r="AR87" s="6" t="s">
        <v>76</v>
      </c>
      <c r="AS87" s="27" t="s">
        <v>173</v>
      </c>
      <c r="AT87" s="301"/>
      <c r="AU87" s="13" t="s">
        <v>1051</v>
      </c>
      <c r="AV87" s="13" t="s">
        <v>1052</v>
      </c>
      <c r="AW87" s="13"/>
      <c r="AX87" s="13"/>
      <c r="AY87" s="92" t="s">
        <v>129</v>
      </c>
      <c r="AZ87" s="92" t="s">
        <v>1053</v>
      </c>
      <c r="BA87" s="92"/>
      <c r="BB87" s="92"/>
      <c r="BC87" s="92" t="s">
        <v>731</v>
      </c>
      <c r="BD87" s="92"/>
      <c r="BE87" s="319">
        <f>VLOOKUP(B87,'TEAMS_30-09-2021'!$D:$AG,30,FALSE)</f>
        <v>0</v>
      </c>
      <c r="BF87" s="319" t="e">
        <f>VLOOKUP(B87,'ENCUESTAS JUN-2021'!I:I,1,FALSE)</f>
        <v>#N/A</v>
      </c>
      <c r="BG87" s="63" t="str">
        <f>VLOOKUP(B87,'TEAMS_30-09-2021'!D:D,1,FALSE)</f>
        <v>Norwegian University of Science and Technology NTNU</v>
      </c>
      <c r="BH87" s="13"/>
      <c r="BL87" s="19" t="e">
        <f t="shared" si="2"/>
        <v>#REF!</v>
      </c>
    </row>
    <row r="88" spans="1:64" s="19" customFormat="1" ht="20.100000000000001" hidden="1" customHeight="1">
      <c r="A88" s="357">
        <v>87</v>
      </c>
      <c r="B88" s="13" t="s">
        <v>1054</v>
      </c>
      <c r="C88" s="252" t="s">
        <v>1054</v>
      </c>
      <c r="D88" s="63" t="s">
        <v>1055</v>
      </c>
      <c r="E88" s="6" t="s">
        <v>1056</v>
      </c>
      <c r="F88" s="6" t="s">
        <v>1057</v>
      </c>
      <c r="G88" s="6"/>
      <c r="H88" s="209" t="s">
        <v>1047</v>
      </c>
      <c r="I88" s="216" t="s">
        <v>153</v>
      </c>
      <c r="J88" s="216" t="s">
        <v>104</v>
      </c>
      <c r="K88" s="209" t="s">
        <v>1058</v>
      </c>
      <c r="L88" s="216" t="s">
        <v>939</v>
      </c>
      <c r="M88" s="216" t="s">
        <v>106</v>
      </c>
      <c r="N88" s="6" t="s">
        <v>69</v>
      </c>
      <c r="O88" s="6"/>
      <c r="P88" s="6" t="s">
        <v>70</v>
      </c>
      <c r="Q88" s="6"/>
      <c r="R88" s="6" t="s">
        <v>70</v>
      </c>
      <c r="S88" s="150" t="s">
        <v>123</v>
      </c>
      <c r="T88" s="6" t="s">
        <v>72</v>
      </c>
      <c r="U88" s="36">
        <v>4</v>
      </c>
      <c r="V88" s="36">
        <v>6</v>
      </c>
      <c r="W88" s="36" t="s">
        <v>1059</v>
      </c>
      <c r="X88" s="36" t="s">
        <v>1060</v>
      </c>
      <c r="Y88" s="6" t="s">
        <v>75</v>
      </c>
      <c r="Z88" s="6" t="s">
        <v>75</v>
      </c>
      <c r="AA88" s="6" t="s">
        <v>75</v>
      </c>
      <c r="AB88" s="6" t="s">
        <v>76</v>
      </c>
      <c r="AC88" s="6" t="s">
        <v>75</v>
      </c>
      <c r="AD88" s="6" t="str">
        <f>_xlfn.TEXTJOIN("/",TRUE,IF(OfertaPlazas[[#This Row],[GITST]]="SI","GITST",""),IF(OfertaPlazas[[#This Row],[GIB]]="SI","GIB",""),IF(OfertaPlazas[[#This Row],[GISD]]="SI","GISD",""),IF(OfertaPlazas[[#This Row],[MASTER]]="SI","MASTER",""))</f>
        <v>GITST/GIB/MASTER</v>
      </c>
      <c r="AE88" s="16" t="s">
        <v>75</v>
      </c>
      <c r="AF88" s="16" t="s">
        <v>75</v>
      </c>
      <c r="AG88" s="16" t="s">
        <v>75</v>
      </c>
      <c r="AH88" s="6" t="s">
        <v>75</v>
      </c>
      <c r="AI88" s="6" t="s">
        <v>75</v>
      </c>
      <c r="AJ88" s="6" t="s">
        <v>75</v>
      </c>
      <c r="AK88" s="6" t="s">
        <v>75</v>
      </c>
      <c r="AL88" s="6" t="s">
        <v>75</v>
      </c>
      <c r="AM88" s="6" t="s">
        <v>75</v>
      </c>
      <c r="AN88" s="6" t="s">
        <v>75</v>
      </c>
      <c r="AO88" s="6" t="s">
        <v>75</v>
      </c>
      <c r="AP88" s="6" t="s">
        <v>75</v>
      </c>
      <c r="AQ88" s="6" t="s">
        <v>75</v>
      </c>
      <c r="AR88" s="6" t="s">
        <v>76</v>
      </c>
      <c r="AS88" s="301" t="s">
        <v>1061</v>
      </c>
      <c r="AT88" s="301"/>
      <c r="AU88" s="259" t="s">
        <v>1062</v>
      </c>
      <c r="AV88" s="13" t="s">
        <v>1063</v>
      </c>
      <c r="AW88" s="13"/>
      <c r="AX88" s="13"/>
      <c r="AY88" s="92" t="s">
        <v>129</v>
      </c>
      <c r="AZ88" s="92" t="s">
        <v>1064</v>
      </c>
      <c r="BA88" s="92"/>
      <c r="BB88" s="92"/>
      <c r="BC88" s="92" t="s">
        <v>748</v>
      </c>
      <c r="BD88" s="92" t="s">
        <v>1065</v>
      </c>
      <c r="BE88" s="319">
        <f>VLOOKUP(B88,'TEAMS_30-09-2021'!$D:$AG,30,FALSE)</f>
        <v>0</v>
      </c>
      <c r="BF88" s="319" t="e">
        <f>VLOOKUP(B88,'ENCUESTAS JUN-2021'!I:I,1,FALSE)</f>
        <v>#N/A</v>
      </c>
      <c r="BG88" s="63" t="str">
        <f>VLOOKUP(B88,'TEAMS_30-09-2021'!D:D,1,FALSE)</f>
        <v>Technische Universiteit Eindhoven</v>
      </c>
      <c r="BH88" s="13"/>
      <c r="BL88" s="19" t="e">
        <f t="shared" si="2"/>
        <v>#REF!</v>
      </c>
    </row>
    <row r="89" spans="1:64" s="19" customFormat="1" ht="20.100000000000001" hidden="1" customHeight="1">
      <c r="A89" s="357">
        <v>88</v>
      </c>
      <c r="B89" s="13" t="s">
        <v>1066</v>
      </c>
      <c r="C89" s="252" t="s">
        <v>1067</v>
      </c>
      <c r="D89" s="63" t="s">
        <v>1068</v>
      </c>
      <c r="E89" s="6" t="s">
        <v>1069</v>
      </c>
      <c r="F89" s="6" t="s">
        <v>1070</v>
      </c>
      <c r="G89" s="6"/>
      <c r="H89" s="209" t="s">
        <v>1071</v>
      </c>
      <c r="I89" s="216" t="s">
        <v>530</v>
      </c>
      <c r="J89" s="216" t="s">
        <v>1072</v>
      </c>
      <c r="K89" s="209" t="s">
        <v>690</v>
      </c>
      <c r="L89" s="216" t="s">
        <v>300</v>
      </c>
      <c r="M89" s="216" t="s">
        <v>300</v>
      </c>
      <c r="N89" s="6" t="s">
        <v>69</v>
      </c>
      <c r="O89" s="6"/>
      <c r="P89" s="6" t="s">
        <v>70</v>
      </c>
      <c r="Q89" s="6"/>
      <c r="R89" s="6"/>
      <c r="S89" s="150" t="s">
        <v>194</v>
      </c>
      <c r="T89" s="6" t="s">
        <v>72</v>
      </c>
      <c r="U89" s="36">
        <v>1</v>
      </c>
      <c r="V89" s="36">
        <v>12</v>
      </c>
      <c r="W89" s="36" t="s">
        <v>1073</v>
      </c>
      <c r="X89" s="36" t="s">
        <v>1074</v>
      </c>
      <c r="Y89" s="6" t="s">
        <v>75</v>
      </c>
      <c r="Z89" s="6" t="s">
        <v>75</v>
      </c>
      <c r="AA89" s="6" t="s">
        <v>76</v>
      </c>
      <c r="AB89" s="6" t="s">
        <v>76</v>
      </c>
      <c r="AC89" s="6" t="s">
        <v>75</v>
      </c>
      <c r="AD89" s="6" t="str">
        <f>_xlfn.TEXTJOIN("/",TRUE,IF(OfertaPlazas[[#This Row],[GITST]]="SI","GITST",""),IF(OfertaPlazas[[#This Row],[GIB]]="SI","GIB",""),IF(OfertaPlazas[[#This Row],[GISD]]="SI","GISD",""),IF(OfertaPlazas[[#This Row],[MASTER]]="SI","MASTER",""))</f>
        <v>GITST/MASTER</v>
      </c>
      <c r="AE89" s="16" t="s">
        <v>75</v>
      </c>
      <c r="AF89" s="16" t="s">
        <v>75</v>
      </c>
      <c r="AG89" s="16" t="s">
        <v>75</v>
      </c>
      <c r="AH89" s="16" t="s">
        <v>75</v>
      </c>
      <c r="AI89" s="16" t="s">
        <v>75</v>
      </c>
      <c r="AJ89" s="16" t="s">
        <v>75</v>
      </c>
      <c r="AK89" s="16" t="s">
        <v>75</v>
      </c>
      <c r="AL89" s="16" t="s">
        <v>75</v>
      </c>
      <c r="AM89" s="16" t="s">
        <v>75</v>
      </c>
      <c r="AN89" s="16" t="s">
        <v>75</v>
      </c>
      <c r="AO89" s="6" t="s">
        <v>75</v>
      </c>
      <c r="AP89" s="6" t="s">
        <v>75</v>
      </c>
      <c r="AQ89" s="6" t="s">
        <v>75</v>
      </c>
      <c r="AR89" s="6" t="s">
        <v>76</v>
      </c>
      <c r="AS89" s="185" t="s">
        <v>1075</v>
      </c>
      <c r="AT89" s="301"/>
      <c r="AU89" s="13"/>
      <c r="AV89" s="13"/>
      <c r="AW89" s="13"/>
      <c r="AX89" s="13"/>
      <c r="AY89" s="91" t="s">
        <v>129</v>
      </c>
      <c r="AZ89" s="91" t="s">
        <v>510</v>
      </c>
      <c r="BA89" s="91"/>
      <c r="BB89" s="91" t="s">
        <v>1076</v>
      </c>
      <c r="BC89" s="91" t="s">
        <v>84</v>
      </c>
      <c r="BD89" s="91" t="s">
        <v>1077</v>
      </c>
      <c r="BE89" s="319">
        <f>VLOOKUP(B89,'TEAMS_30-09-2021'!$D:$AG,30,FALSE)</f>
        <v>0</v>
      </c>
      <c r="BF89" s="319" t="e">
        <f>VLOOKUP(B89,'ENCUESTAS JUN-2021'!I:I,1,FALSE)</f>
        <v>#N/A</v>
      </c>
      <c r="BG89" s="63" t="str">
        <f>VLOOKUP(B89,'TEAMS_30-09-2021'!D:D,1,FALSE)</f>
        <v>Instituto Politécnico de Bragança</v>
      </c>
      <c r="BH89" s="13"/>
      <c r="BL89" s="19" t="e">
        <f t="shared" si="2"/>
        <v>#REF!</v>
      </c>
    </row>
    <row r="90" spans="1:64" s="19" customFormat="1" ht="20.100000000000001" hidden="1" customHeight="1">
      <c r="A90" s="357">
        <v>89</v>
      </c>
      <c r="B90" s="13" t="s">
        <v>1078</v>
      </c>
      <c r="C90" s="252" t="s">
        <v>1079</v>
      </c>
      <c r="D90" s="63" t="s">
        <v>1080</v>
      </c>
      <c r="E90" s="6" t="s">
        <v>1081</v>
      </c>
      <c r="F90" s="6" t="s">
        <v>1070</v>
      </c>
      <c r="G90" s="6"/>
      <c r="H90" s="209" t="s">
        <v>1038</v>
      </c>
      <c r="I90" s="216" t="s">
        <v>89</v>
      </c>
      <c r="J90" s="216" t="s">
        <v>89</v>
      </c>
      <c r="K90" s="209" t="s">
        <v>219</v>
      </c>
      <c r="L90" s="216" t="s">
        <v>141</v>
      </c>
      <c r="M90" s="216"/>
      <c r="N90" s="6" t="s">
        <v>69</v>
      </c>
      <c r="O90" s="6"/>
      <c r="P90" s="6" t="s">
        <v>70</v>
      </c>
      <c r="Q90" s="6"/>
      <c r="R90" s="6"/>
      <c r="S90" s="150" t="s">
        <v>194</v>
      </c>
      <c r="T90" s="6" t="s">
        <v>72</v>
      </c>
      <c r="U90" s="36">
        <v>1</v>
      </c>
      <c r="V90" s="36">
        <v>12</v>
      </c>
      <c r="W90" s="36" t="s">
        <v>1082</v>
      </c>
      <c r="X90" s="36" t="s">
        <v>125</v>
      </c>
      <c r="Y90" s="6" t="s">
        <v>75</v>
      </c>
      <c r="Z90" s="6" t="s">
        <v>75</v>
      </c>
      <c r="AA90" s="6" t="s">
        <v>76</v>
      </c>
      <c r="AB90" s="6" t="s">
        <v>76</v>
      </c>
      <c r="AC90" s="6" t="s">
        <v>75</v>
      </c>
      <c r="AD90" s="6" t="str">
        <f>_xlfn.TEXTJOIN("/",TRUE,IF(OfertaPlazas[[#This Row],[GITST]]="SI","GITST",""),IF(OfertaPlazas[[#This Row],[GIB]]="SI","GIB",""),IF(OfertaPlazas[[#This Row],[GISD]]="SI","GISD",""),IF(OfertaPlazas[[#This Row],[MASTER]]="SI","MASTER",""))</f>
        <v>GITST/MASTER</v>
      </c>
      <c r="AE90" s="16" t="s">
        <v>75</v>
      </c>
      <c r="AF90" s="16" t="s">
        <v>75</v>
      </c>
      <c r="AG90" s="16" t="s">
        <v>75</v>
      </c>
      <c r="AH90" s="16" t="s">
        <v>75</v>
      </c>
      <c r="AI90" s="16" t="s">
        <v>75</v>
      </c>
      <c r="AJ90" s="16" t="s">
        <v>75</v>
      </c>
      <c r="AK90" s="16" t="s">
        <v>75</v>
      </c>
      <c r="AL90" s="16" t="s">
        <v>75</v>
      </c>
      <c r="AM90" s="16" t="s">
        <v>75</v>
      </c>
      <c r="AN90" s="16" t="s">
        <v>75</v>
      </c>
      <c r="AO90" s="6" t="s">
        <v>75</v>
      </c>
      <c r="AP90" s="6" t="s">
        <v>75</v>
      </c>
      <c r="AQ90" s="6" t="s">
        <v>75</v>
      </c>
      <c r="AR90" s="6" t="s">
        <v>76</v>
      </c>
      <c r="AS90" s="185" t="s">
        <v>1075</v>
      </c>
      <c r="AT90" s="301"/>
      <c r="AU90" s="72"/>
      <c r="AV90" s="13"/>
      <c r="AW90" s="13"/>
      <c r="AX90" s="13"/>
      <c r="AY90" s="91"/>
      <c r="AZ90" s="91"/>
      <c r="BA90" s="91"/>
      <c r="BB90" s="91"/>
      <c r="BC90" s="91"/>
      <c r="BD90" s="91"/>
      <c r="BE90" s="319">
        <f>VLOOKUP(B90,'TEAMS_30-09-2021'!$D:$AG,30,FALSE)</f>
        <v>0</v>
      </c>
      <c r="BF90" s="319" t="e">
        <f>VLOOKUP(B90,'ENCUESTAS JUN-2021'!I:I,1,FALSE)</f>
        <v>#N/A</v>
      </c>
      <c r="BG90" s="63" t="str">
        <f>VLOOKUP(B90,'TEAMS_30-09-2021'!D:D,1,FALSE)</f>
        <v>Universidade da Beira Interior</v>
      </c>
      <c r="BH90" s="13"/>
      <c r="BL90" s="19" t="e">
        <f t="shared" si="2"/>
        <v>#REF!</v>
      </c>
    </row>
    <row r="91" spans="1:64" s="19" customFormat="1" ht="20.100000000000001" hidden="1" customHeight="1">
      <c r="A91" s="357">
        <v>90</v>
      </c>
      <c r="B91" s="13" t="s">
        <v>1083</v>
      </c>
      <c r="C91" s="252" t="s">
        <v>1084</v>
      </c>
      <c r="D91" s="63" t="s">
        <v>1085</v>
      </c>
      <c r="E91" s="6" t="s">
        <v>1086</v>
      </c>
      <c r="F91" s="6" t="s">
        <v>1070</v>
      </c>
      <c r="G91" s="6"/>
      <c r="H91" s="209" t="s">
        <v>901</v>
      </c>
      <c r="I91" s="216" t="s">
        <v>119</v>
      </c>
      <c r="J91" s="216" t="s">
        <v>119</v>
      </c>
      <c r="K91" s="209" t="s">
        <v>1087</v>
      </c>
      <c r="L91" s="216" t="s">
        <v>208</v>
      </c>
      <c r="M91" s="216"/>
      <c r="N91" s="6" t="s">
        <v>69</v>
      </c>
      <c r="O91" s="6" t="s">
        <v>70</v>
      </c>
      <c r="P91" s="6" t="s">
        <v>70</v>
      </c>
      <c r="Q91" s="6"/>
      <c r="R91" s="6"/>
      <c r="S91" s="150" t="s">
        <v>830</v>
      </c>
      <c r="T91" s="6" t="s">
        <v>72</v>
      </c>
      <c r="U91" s="36">
        <v>1</v>
      </c>
      <c r="V91" s="36">
        <v>12</v>
      </c>
      <c r="W91" s="36" t="s">
        <v>1088</v>
      </c>
      <c r="X91" s="36" t="s">
        <v>125</v>
      </c>
      <c r="Y91" s="6" t="s">
        <v>75</v>
      </c>
      <c r="Z91" s="6" t="s">
        <v>75</v>
      </c>
      <c r="AA91" s="6" t="s">
        <v>76</v>
      </c>
      <c r="AB91" s="6" t="s">
        <v>76</v>
      </c>
      <c r="AC91" s="6" t="s">
        <v>75</v>
      </c>
      <c r="AD91" s="6" t="str">
        <f>_xlfn.TEXTJOIN("/",TRUE,IF(OfertaPlazas[[#This Row],[GITST]]="SI","GITST",""),IF(OfertaPlazas[[#This Row],[GIB]]="SI","GIB",""),IF(OfertaPlazas[[#This Row],[GISD]]="SI","GISD",""),IF(OfertaPlazas[[#This Row],[MASTER]]="SI","MASTER",""))</f>
        <v>GITST/MASTER</v>
      </c>
      <c r="AE91" s="16" t="s">
        <v>75</v>
      </c>
      <c r="AF91" s="16" t="s">
        <v>75</v>
      </c>
      <c r="AG91" s="16" t="s">
        <v>75</v>
      </c>
      <c r="AH91" s="6" t="s">
        <v>75</v>
      </c>
      <c r="AI91" s="6" t="s">
        <v>75</v>
      </c>
      <c r="AJ91" s="6" t="s">
        <v>76</v>
      </c>
      <c r="AK91" s="6" t="s">
        <v>76</v>
      </c>
      <c r="AL91" s="6" t="s">
        <v>76</v>
      </c>
      <c r="AM91" s="6" t="s">
        <v>76</v>
      </c>
      <c r="AN91" s="6" t="s">
        <v>75</v>
      </c>
      <c r="AO91" s="6" t="s">
        <v>75</v>
      </c>
      <c r="AP91" s="6" t="s">
        <v>76</v>
      </c>
      <c r="AQ91" s="6" t="s">
        <v>75</v>
      </c>
      <c r="AR91" s="6" t="s">
        <v>76</v>
      </c>
      <c r="AS91" s="185" t="s">
        <v>1089</v>
      </c>
      <c r="AT91" s="301"/>
      <c r="AU91" s="72"/>
      <c r="AV91" s="13"/>
      <c r="AW91" s="13"/>
      <c r="AX91" s="13"/>
      <c r="AY91" s="91" t="s">
        <v>129</v>
      </c>
      <c r="AZ91" s="91" t="s">
        <v>1090</v>
      </c>
      <c r="BA91" s="91"/>
      <c r="BB91" s="91" t="s">
        <v>1091</v>
      </c>
      <c r="BC91" s="91" t="s">
        <v>84</v>
      </c>
      <c r="BD91" s="91" t="s">
        <v>1092</v>
      </c>
      <c r="BE91" s="319">
        <f>VLOOKUP(B91,'TEAMS_30-09-2021'!$D:$AG,30,FALSE)</f>
        <v>0</v>
      </c>
      <c r="BF91" s="319" t="e">
        <f>VLOOKUP(B91,'ENCUESTAS JUN-2021'!I:I,1,FALSE)</f>
        <v>#N/A</v>
      </c>
      <c r="BG91" s="63" t="str">
        <f>VLOOKUP(B91,'TEAMS_30-09-2021'!D:D,1,FALSE)</f>
        <v>Polytechnic Institute of Leiria</v>
      </c>
      <c r="BH91" s="13"/>
      <c r="BL91" s="19" t="e">
        <f t="shared" si="2"/>
        <v>#REF!</v>
      </c>
    </row>
    <row r="92" spans="1:64" s="19" customFormat="1" ht="20.100000000000001" hidden="1" customHeight="1">
      <c r="A92" s="357">
        <v>91</v>
      </c>
      <c r="B92" s="13" t="s">
        <v>1093</v>
      </c>
      <c r="C92" s="252" t="s">
        <v>1094</v>
      </c>
      <c r="D92" s="63" t="s">
        <v>1095</v>
      </c>
      <c r="E92" s="6" t="s">
        <v>1096</v>
      </c>
      <c r="F92" s="6" t="s">
        <v>1070</v>
      </c>
      <c r="G92" s="6"/>
      <c r="H92" s="209" t="s">
        <v>1097</v>
      </c>
      <c r="I92" s="216" t="s">
        <v>1098</v>
      </c>
      <c r="J92" s="216" t="s">
        <v>90</v>
      </c>
      <c r="K92" s="209" t="s">
        <v>219</v>
      </c>
      <c r="L92" s="216" t="s">
        <v>92</v>
      </c>
      <c r="M92" s="216" t="s">
        <v>92</v>
      </c>
      <c r="N92" s="6" t="s">
        <v>796</v>
      </c>
      <c r="O92" s="6"/>
      <c r="P92" s="6" t="s">
        <v>70</v>
      </c>
      <c r="Q92" s="6" t="s">
        <v>70</v>
      </c>
      <c r="R92" s="6" t="s">
        <v>70</v>
      </c>
      <c r="S92" s="150" t="s">
        <v>920</v>
      </c>
      <c r="T92" s="58" t="s">
        <v>605</v>
      </c>
      <c r="U92" s="36">
        <v>7</v>
      </c>
      <c r="V92" s="36">
        <v>12</v>
      </c>
      <c r="W92" s="36" t="s">
        <v>1099</v>
      </c>
      <c r="X92" s="36" t="s">
        <v>1100</v>
      </c>
      <c r="Y92" s="6" t="s">
        <v>75</v>
      </c>
      <c r="Z92" s="6" t="s">
        <v>75</v>
      </c>
      <c r="AA92" s="6" t="s">
        <v>75</v>
      </c>
      <c r="AB92" s="6" t="s">
        <v>75</v>
      </c>
      <c r="AC92" s="6" t="s">
        <v>75</v>
      </c>
      <c r="AD92" s="6" t="str">
        <f>_xlfn.TEXTJOIN("/",TRUE,IF(OfertaPlazas[[#This Row],[GITST]]="SI","GITST",""),IF(OfertaPlazas[[#This Row],[GIB]]="SI","GIB",""),IF(OfertaPlazas[[#This Row],[GISD]]="SI","GISD",""),IF(OfertaPlazas[[#This Row],[MASTER]]="SI","MASTER",""))</f>
        <v>GITST/GIB/GISD/MASTER</v>
      </c>
      <c r="AE92" s="16" t="s">
        <v>75</v>
      </c>
      <c r="AF92" s="16" t="s">
        <v>75</v>
      </c>
      <c r="AG92" s="16" t="s">
        <v>75</v>
      </c>
      <c r="AH92" s="6" t="s">
        <v>75</v>
      </c>
      <c r="AI92" s="6" t="s">
        <v>75</v>
      </c>
      <c r="AJ92" s="16" t="s">
        <v>76</v>
      </c>
      <c r="AK92" s="16" t="s">
        <v>76</v>
      </c>
      <c r="AL92" s="6" t="s">
        <v>75</v>
      </c>
      <c r="AM92" s="16" t="s">
        <v>76</v>
      </c>
      <c r="AN92" s="16" t="s">
        <v>76</v>
      </c>
      <c r="AO92" s="6" t="s">
        <v>75</v>
      </c>
      <c r="AP92" s="6" t="s">
        <v>75</v>
      </c>
      <c r="AQ92" s="6" t="s">
        <v>75</v>
      </c>
      <c r="AR92" s="6" t="s">
        <v>76</v>
      </c>
      <c r="AS92" s="185" t="s">
        <v>1101</v>
      </c>
      <c r="AT92" s="301"/>
      <c r="AU92" s="13" t="s">
        <v>1102</v>
      </c>
      <c r="AV92" s="13"/>
      <c r="AW92" s="13" t="s">
        <v>48</v>
      </c>
      <c r="AX92" s="13" t="s">
        <v>1103</v>
      </c>
      <c r="AY92" s="91" t="s">
        <v>129</v>
      </c>
      <c r="AZ92" s="91" t="s">
        <v>1104</v>
      </c>
      <c r="BA92" s="91" t="s">
        <v>1105</v>
      </c>
      <c r="BB92" s="91"/>
      <c r="BC92" s="91" t="s">
        <v>131</v>
      </c>
      <c r="BD92" s="91" t="s">
        <v>1106</v>
      </c>
      <c r="BE92" s="319" t="str">
        <f>VLOOKUP(B92,'TEAMS_30-09-2021'!$D:$AG,30,FALSE)</f>
        <v>Queremos renovar con el Técnico di Lisboa (IST) / MTIH 5 plazas* 6 meses / GIB 2 plazas*12 meses / GITST-MUIT: 2 plazas*12 meses</v>
      </c>
      <c r="BF92" s="319" t="e">
        <f>VLOOKUP(B92,'ENCUESTAS JUN-2021'!I:I,1,FALSE)</f>
        <v>#N/A</v>
      </c>
      <c r="BG92" s="63" t="str">
        <f>VLOOKUP(B92,'TEAMS_30-09-2021'!D:D,1,FALSE)</f>
        <v>Universidade de Lisboa* - Técnico de Lisboa</v>
      </c>
      <c r="BH92" s="13"/>
      <c r="BL92" s="19" t="e">
        <f t="shared" si="2"/>
        <v>#REF!</v>
      </c>
    </row>
    <row r="93" spans="1:64" s="19" customFormat="1" ht="20.100000000000001" hidden="1" customHeight="1">
      <c r="A93" s="357">
        <v>92</v>
      </c>
      <c r="B93" s="13" t="s">
        <v>1107</v>
      </c>
      <c r="C93" s="252" t="s">
        <v>1094</v>
      </c>
      <c r="D93" s="63" t="s">
        <v>1095</v>
      </c>
      <c r="E93" s="6" t="s">
        <v>1096</v>
      </c>
      <c r="F93" s="6" t="s">
        <v>1070</v>
      </c>
      <c r="G93" s="6"/>
      <c r="H93" s="209" t="s">
        <v>218</v>
      </c>
      <c r="I93" s="216" t="s">
        <v>90</v>
      </c>
      <c r="J93" s="216" t="s">
        <v>90</v>
      </c>
      <c r="K93" s="209" t="s">
        <v>1108</v>
      </c>
      <c r="L93" s="216" t="s">
        <v>193</v>
      </c>
      <c r="M93" s="216" t="s">
        <v>193</v>
      </c>
      <c r="N93" s="6" t="s">
        <v>69</v>
      </c>
      <c r="O93" s="6" t="s">
        <v>70</v>
      </c>
      <c r="P93" s="6"/>
      <c r="Q93" s="6"/>
      <c r="R93" s="6" t="s">
        <v>70</v>
      </c>
      <c r="S93" s="150" t="s">
        <v>1109</v>
      </c>
      <c r="T93" s="6" t="s">
        <v>72</v>
      </c>
      <c r="U93" s="36">
        <v>6</v>
      </c>
      <c r="V93" s="36">
        <v>12</v>
      </c>
      <c r="W93" s="225"/>
      <c r="X93" s="36"/>
      <c r="Y93" s="6" t="s">
        <v>75</v>
      </c>
      <c r="Z93" s="6" t="s">
        <v>75</v>
      </c>
      <c r="AA93" s="6" t="s">
        <v>75</v>
      </c>
      <c r="AB93" s="6" t="s">
        <v>76</v>
      </c>
      <c r="AC93" s="6" t="s">
        <v>75</v>
      </c>
      <c r="AD93" s="6" t="str">
        <f>_xlfn.TEXTJOIN("/",TRUE,IF(OfertaPlazas[[#This Row],[GITST]]="SI","GITST",""),IF(OfertaPlazas[[#This Row],[GIB]]="SI","GIB",""),IF(OfertaPlazas[[#This Row],[GISD]]="SI","GISD",""),IF(OfertaPlazas[[#This Row],[MASTER]]="SI","MASTER",""))</f>
        <v>GITST/GIB/MASTER</v>
      </c>
      <c r="AE93" s="16" t="s">
        <v>75</v>
      </c>
      <c r="AF93" s="16" t="s">
        <v>75</v>
      </c>
      <c r="AG93" s="16" t="s">
        <v>75</v>
      </c>
      <c r="AH93" s="16" t="s">
        <v>75</v>
      </c>
      <c r="AI93" s="16" t="s">
        <v>75</v>
      </c>
      <c r="AJ93" s="16" t="s">
        <v>76</v>
      </c>
      <c r="AK93" s="16" t="s">
        <v>76</v>
      </c>
      <c r="AL93" s="16" t="s">
        <v>75</v>
      </c>
      <c r="AM93" s="16" t="s">
        <v>76</v>
      </c>
      <c r="AN93" s="16" t="s">
        <v>76</v>
      </c>
      <c r="AO93" s="6" t="s">
        <v>75</v>
      </c>
      <c r="AP93" s="6" t="s">
        <v>75</v>
      </c>
      <c r="AQ93" s="6" t="s">
        <v>75</v>
      </c>
      <c r="AR93" s="6" t="s">
        <v>76</v>
      </c>
      <c r="AS93" s="185" t="s">
        <v>1110</v>
      </c>
      <c r="AT93" s="301"/>
      <c r="AU93" s="13" t="s">
        <v>1111</v>
      </c>
      <c r="AV93" s="13"/>
      <c r="AW93" s="13"/>
      <c r="AX93" s="13" t="s">
        <v>1112</v>
      </c>
      <c r="AY93" s="91" t="s">
        <v>1113</v>
      </c>
      <c r="AZ93" s="91" t="s">
        <v>1114</v>
      </c>
      <c r="BA93" s="91" t="s">
        <v>1115</v>
      </c>
      <c r="BB93" s="91" t="s">
        <v>1116</v>
      </c>
      <c r="BC93" s="91" t="s">
        <v>84</v>
      </c>
      <c r="BD93" s="91" t="s">
        <v>1117</v>
      </c>
      <c r="BE93" s="319"/>
      <c r="BF93" s="319" t="e">
        <f>VLOOKUP(B93,'ENCUESTAS JUN-2021'!I:I,1,FALSE)</f>
        <v>#N/A</v>
      </c>
      <c r="BG93" s="335" t="s">
        <v>1118</v>
      </c>
      <c r="BH93" s="13"/>
      <c r="BL93" s="19" t="e">
        <f t="shared" si="2"/>
        <v>#REF!</v>
      </c>
    </row>
    <row r="94" spans="1:64" s="19" customFormat="1" ht="20.25" hidden="1" customHeight="1">
      <c r="A94" s="357">
        <v>93</v>
      </c>
      <c r="B94" s="13" t="s">
        <v>1119</v>
      </c>
      <c r="C94" s="252" t="s">
        <v>1120</v>
      </c>
      <c r="D94" s="63" t="s">
        <v>1121</v>
      </c>
      <c r="E94" s="6" t="s">
        <v>1122</v>
      </c>
      <c r="F94" s="6" t="s">
        <v>1123</v>
      </c>
      <c r="G94" s="6"/>
      <c r="H94" s="209" t="s">
        <v>1124</v>
      </c>
      <c r="I94" s="216" t="s">
        <v>169</v>
      </c>
      <c r="J94" s="216" t="s">
        <v>1125</v>
      </c>
      <c r="K94" s="209"/>
      <c r="L94" s="216" t="s">
        <v>477</v>
      </c>
      <c r="M94" s="216"/>
      <c r="N94" s="6" t="s">
        <v>69</v>
      </c>
      <c r="O94" s="6"/>
      <c r="P94" s="6" t="s">
        <v>70</v>
      </c>
      <c r="Q94" s="6" t="s">
        <v>70</v>
      </c>
      <c r="R94" s="6" t="s">
        <v>70</v>
      </c>
      <c r="S94" s="150" t="s">
        <v>1126</v>
      </c>
      <c r="T94" s="6" t="s">
        <v>72</v>
      </c>
      <c r="U94" s="36">
        <v>2</v>
      </c>
      <c r="V94" s="36">
        <v>12</v>
      </c>
      <c r="W94" s="36" t="s">
        <v>1127</v>
      </c>
      <c r="X94" s="36" t="s">
        <v>125</v>
      </c>
      <c r="Y94" s="6" t="s">
        <v>75</v>
      </c>
      <c r="Z94" s="6" t="s">
        <v>75</v>
      </c>
      <c r="AA94" s="6" t="s">
        <v>75</v>
      </c>
      <c r="AB94" s="6" t="s">
        <v>75</v>
      </c>
      <c r="AC94" s="6" t="s">
        <v>75</v>
      </c>
      <c r="AD94" s="6" t="str">
        <f>_xlfn.TEXTJOIN("/",TRUE,IF(OfertaPlazas[[#This Row],[GITST]]="SI","GITST",""),IF(OfertaPlazas[[#This Row],[GIB]]="SI","GIB",""),IF(OfertaPlazas[[#This Row],[GISD]]="SI","GISD",""),IF(OfertaPlazas[[#This Row],[MASTER]]="SI","MASTER",""))</f>
        <v>GITST/GIB/GISD/MASTER</v>
      </c>
      <c r="AE94" s="16" t="s">
        <v>75</v>
      </c>
      <c r="AF94" s="16" t="s">
        <v>75</v>
      </c>
      <c r="AG94" s="16" t="s">
        <v>75</v>
      </c>
      <c r="AH94" s="6" t="s">
        <v>75</v>
      </c>
      <c r="AI94" s="6" t="s">
        <v>75</v>
      </c>
      <c r="AJ94" s="6" t="s">
        <v>76</v>
      </c>
      <c r="AK94" s="6" t="s">
        <v>76</v>
      </c>
      <c r="AL94" s="6" t="s">
        <v>76</v>
      </c>
      <c r="AM94" s="6" t="s">
        <v>76</v>
      </c>
      <c r="AN94" s="6" t="s">
        <v>76</v>
      </c>
      <c r="AO94" s="6" t="s">
        <v>75</v>
      </c>
      <c r="AP94" s="6" t="s">
        <v>76</v>
      </c>
      <c r="AQ94" s="6" t="s">
        <v>76</v>
      </c>
      <c r="AR94" s="6" t="s">
        <v>76</v>
      </c>
      <c r="AS94" s="27" t="s">
        <v>173</v>
      </c>
      <c r="AT94" s="301" t="s">
        <v>609</v>
      </c>
      <c r="AU94" s="13"/>
      <c r="AV94" s="13" t="s">
        <v>1128</v>
      </c>
      <c r="AW94" s="13"/>
      <c r="AX94" s="13"/>
      <c r="AY94" s="90"/>
      <c r="AZ94" s="90"/>
      <c r="BA94" s="90"/>
      <c r="BB94" s="90"/>
      <c r="BC94" s="90"/>
      <c r="BD94" s="90"/>
      <c r="BE94" s="319" t="e">
        <f>VLOOKUP(B94,'TEAMS_30-09-2021'!$D:$AG,30,FALSE)</f>
        <v>#N/A</v>
      </c>
      <c r="BF94" s="319" t="e">
        <f>VLOOKUP(B94,'ENCUESTAS JUN-2021'!I:I,1,FALSE)</f>
        <v>#N/A</v>
      </c>
      <c r="BG94" s="63" t="e">
        <f>VLOOKUP(B94,'TEAMS_30-09-2021'!D:D,1,FALSE)</f>
        <v>#N/A</v>
      </c>
      <c r="BH94" s="13"/>
      <c r="BL94" s="19" t="e">
        <f t="shared" si="2"/>
        <v>#REF!</v>
      </c>
    </row>
    <row r="95" spans="1:64" s="19" customFormat="1" ht="20.100000000000001" hidden="1" customHeight="1">
      <c r="A95" s="357">
        <v>94</v>
      </c>
      <c r="B95" s="72" t="s">
        <v>1129</v>
      </c>
      <c r="C95" s="252" t="s">
        <v>1130</v>
      </c>
      <c r="D95" s="63" t="s">
        <v>1121</v>
      </c>
      <c r="E95" s="6" t="s">
        <v>1131</v>
      </c>
      <c r="F95" s="6" t="s">
        <v>1123</v>
      </c>
      <c r="G95" s="6"/>
      <c r="H95" s="209" t="s">
        <v>326</v>
      </c>
      <c r="I95" s="216" t="s">
        <v>169</v>
      </c>
      <c r="J95" s="216" t="s">
        <v>118</v>
      </c>
      <c r="K95" s="209" t="s">
        <v>1132</v>
      </c>
      <c r="L95" s="216" t="s">
        <v>766</v>
      </c>
      <c r="M95" s="216" t="s">
        <v>92</v>
      </c>
      <c r="N95" s="6" t="s">
        <v>69</v>
      </c>
      <c r="O95" s="6"/>
      <c r="P95" s="6" t="s">
        <v>70</v>
      </c>
      <c r="Q95" s="6"/>
      <c r="R95" s="6"/>
      <c r="S95" s="150" t="s">
        <v>194</v>
      </c>
      <c r="T95" s="6" t="s">
        <v>72</v>
      </c>
      <c r="U95" s="36">
        <v>3</v>
      </c>
      <c r="V95" s="36">
        <v>12</v>
      </c>
      <c r="W95" s="36" t="s">
        <v>1133</v>
      </c>
      <c r="X95" s="36" t="s">
        <v>125</v>
      </c>
      <c r="Y95" s="6" t="s">
        <v>75</v>
      </c>
      <c r="Z95" s="6" t="s">
        <v>75</v>
      </c>
      <c r="AA95" s="6" t="s">
        <v>76</v>
      </c>
      <c r="AB95" s="6" t="s">
        <v>76</v>
      </c>
      <c r="AC95" s="6" t="s">
        <v>75</v>
      </c>
      <c r="AD95" s="6" t="str">
        <f>_xlfn.TEXTJOIN("/",TRUE,IF(OfertaPlazas[[#This Row],[GITST]]="SI","GITST",""),IF(OfertaPlazas[[#This Row],[GIB]]="SI","GIB",""),IF(OfertaPlazas[[#This Row],[GISD]]="SI","GISD",""),IF(OfertaPlazas[[#This Row],[MASTER]]="SI","MASTER",""))</f>
        <v>GITST/MASTER</v>
      </c>
      <c r="AE95" s="16" t="s">
        <v>75</v>
      </c>
      <c r="AF95" s="16" t="s">
        <v>75</v>
      </c>
      <c r="AG95" s="16" t="s">
        <v>75</v>
      </c>
      <c r="AH95" s="16" t="s">
        <v>75</v>
      </c>
      <c r="AI95" s="16" t="s">
        <v>75</v>
      </c>
      <c r="AJ95" s="16" t="s">
        <v>76</v>
      </c>
      <c r="AK95" s="16" t="s">
        <v>76</v>
      </c>
      <c r="AL95" s="16" t="s">
        <v>76</v>
      </c>
      <c r="AM95" s="16" t="s">
        <v>76</v>
      </c>
      <c r="AN95" s="16" t="s">
        <v>75</v>
      </c>
      <c r="AO95" s="6" t="s">
        <v>75</v>
      </c>
      <c r="AP95" s="6" t="s">
        <v>76</v>
      </c>
      <c r="AQ95" s="6" t="s">
        <v>76</v>
      </c>
      <c r="AR95" s="6" t="s">
        <v>76</v>
      </c>
      <c r="AS95" s="27" t="s">
        <v>1134</v>
      </c>
      <c r="AT95" s="301" t="s">
        <v>1135</v>
      </c>
      <c r="AU95" s="273" t="s">
        <v>1136</v>
      </c>
      <c r="AV95" s="13"/>
      <c r="AW95" s="13" t="s">
        <v>1137</v>
      </c>
      <c r="AX95" s="13"/>
      <c r="AY95" s="90"/>
      <c r="AZ95" s="90"/>
      <c r="BA95" s="90"/>
      <c r="BB95" s="90"/>
      <c r="BC95" s="90"/>
      <c r="BD95" s="90"/>
      <c r="BE95" s="319">
        <f>VLOOKUP(B95,'TEAMS_30-09-2021'!$D:$AG,30,FALSE)</f>
        <v>0</v>
      </c>
      <c r="BF95" s="320" t="str">
        <f>VLOOKUP(B95,'ENCUESTAS JUN-2021'!I:I,1,FALSE)</f>
        <v>Cracow University of Technology- Politechnika Krakowska</v>
      </c>
      <c r="BG95" s="63" t="str">
        <f>VLOOKUP(B95,'TEAMS_30-09-2021'!D:D,1,FALSE)</f>
        <v>Cracow University of Technology- Politechnika Krakowska</v>
      </c>
      <c r="BH95" s="13"/>
      <c r="BL95" s="19" t="e">
        <f t="shared" si="2"/>
        <v>#REF!</v>
      </c>
    </row>
    <row r="96" spans="1:64" s="19" customFormat="1" ht="20.100000000000001" hidden="1" customHeight="1">
      <c r="A96" s="357">
        <v>95</v>
      </c>
      <c r="B96" s="343" t="s">
        <v>1138</v>
      </c>
      <c r="C96" s="344" t="s">
        <v>1139</v>
      </c>
      <c r="D96" s="63" t="s">
        <v>1140</v>
      </c>
      <c r="E96" s="6" t="s">
        <v>1141</v>
      </c>
      <c r="F96" s="6" t="s">
        <v>1123</v>
      </c>
      <c r="G96" s="6"/>
      <c r="H96" s="209" t="s">
        <v>1142</v>
      </c>
      <c r="I96" s="216" t="s">
        <v>119</v>
      </c>
      <c r="J96" s="216" t="s">
        <v>1143</v>
      </c>
      <c r="K96" s="209" t="s">
        <v>1087</v>
      </c>
      <c r="L96" s="216" t="s">
        <v>208</v>
      </c>
      <c r="M96" s="216"/>
      <c r="N96" s="6" t="s">
        <v>69</v>
      </c>
      <c r="O96" s="6"/>
      <c r="P96" s="6" t="s">
        <v>70</v>
      </c>
      <c r="Q96" s="6"/>
      <c r="R96" s="6"/>
      <c r="S96" s="150" t="s">
        <v>194</v>
      </c>
      <c r="T96" s="6" t="s">
        <v>72</v>
      </c>
      <c r="U96" s="36">
        <v>2</v>
      </c>
      <c r="V96" s="36">
        <v>12</v>
      </c>
      <c r="W96" s="36" t="s">
        <v>1144</v>
      </c>
      <c r="X96" s="36" t="s">
        <v>125</v>
      </c>
      <c r="Y96" s="6" t="s">
        <v>75</v>
      </c>
      <c r="Z96" s="6" t="s">
        <v>75</v>
      </c>
      <c r="AA96" s="6" t="s">
        <v>76</v>
      </c>
      <c r="AB96" s="6" t="s">
        <v>76</v>
      </c>
      <c r="AC96" s="6" t="s">
        <v>75</v>
      </c>
      <c r="AD96" s="6" t="str">
        <f>_xlfn.TEXTJOIN("/",TRUE,IF(OfertaPlazas[[#This Row],[GITST]]="SI","GITST",""),IF(OfertaPlazas[[#This Row],[GIB]]="SI","GIB",""),IF(OfertaPlazas[[#This Row],[GISD]]="SI","GISD",""),IF(OfertaPlazas[[#This Row],[MASTER]]="SI","MASTER",""))</f>
        <v>GITST/MASTER</v>
      </c>
      <c r="AE96" s="16" t="s">
        <v>75</v>
      </c>
      <c r="AF96" s="16" t="s">
        <v>75</v>
      </c>
      <c r="AG96" s="16" t="s">
        <v>75</v>
      </c>
      <c r="AH96" s="6" t="s">
        <v>75</v>
      </c>
      <c r="AI96" s="6" t="s">
        <v>75</v>
      </c>
      <c r="AJ96" s="6" t="s">
        <v>75</v>
      </c>
      <c r="AK96" s="6" t="s">
        <v>75</v>
      </c>
      <c r="AL96" s="6" t="s">
        <v>75</v>
      </c>
      <c r="AM96" s="6" t="s">
        <v>75</v>
      </c>
      <c r="AN96" s="6" t="s">
        <v>75</v>
      </c>
      <c r="AO96" s="6" t="s">
        <v>75</v>
      </c>
      <c r="AP96" s="6" t="s">
        <v>75</v>
      </c>
      <c r="AQ96" s="6" t="s">
        <v>75</v>
      </c>
      <c r="AR96" s="6" t="s">
        <v>76</v>
      </c>
      <c r="AS96" s="185" t="s">
        <v>173</v>
      </c>
      <c r="AT96" s="301"/>
      <c r="AU96" s="13" t="s">
        <v>1145</v>
      </c>
      <c r="AV96" s="13"/>
      <c r="AW96" s="13"/>
      <c r="AX96" s="13"/>
      <c r="AY96" s="90"/>
      <c r="AZ96" s="90"/>
      <c r="BA96" s="90"/>
      <c r="BB96" s="90"/>
      <c r="BC96" s="90"/>
      <c r="BD96" s="90"/>
      <c r="BE96" s="319">
        <f>VLOOKUP(B96,'TEAMS_30-09-2021'!$D:$AG,30,FALSE)</f>
        <v>0</v>
      </c>
      <c r="BF96" s="319" t="e">
        <f>VLOOKUP(B96,'ENCUESTAS JUN-2021'!I:I,1,FALSE)</f>
        <v>#N/A</v>
      </c>
      <c r="BG96" s="63" t="str">
        <f>VLOOKUP(B96,'TEAMS_30-09-2021'!D:D,1,FALSE)</f>
        <v>Technical University of Lodz</v>
      </c>
      <c r="BH96" s="13"/>
      <c r="BL96" s="19" t="e">
        <f t="shared" si="2"/>
        <v>#REF!</v>
      </c>
    </row>
    <row r="97" spans="1:64" s="19" customFormat="1" ht="20.100000000000001" hidden="1" customHeight="1">
      <c r="A97" s="357">
        <v>96</v>
      </c>
      <c r="B97" s="13" t="s">
        <v>1146</v>
      </c>
      <c r="C97" s="252" t="s">
        <v>1147</v>
      </c>
      <c r="D97" s="63" t="s">
        <v>1148</v>
      </c>
      <c r="E97" s="6" t="s">
        <v>1149</v>
      </c>
      <c r="F97" s="6" t="s">
        <v>1123</v>
      </c>
      <c r="G97" s="6"/>
      <c r="H97" s="209" t="s">
        <v>181</v>
      </c>
      <c r="I97" s="216" t="s">
        <v>139</v>
      </c>
      <c r="J97" s="216" t="s">
        <v>118</v>
      </c>
      <c r="K97" s="209" t="s">
        <v>716</v>
      </c>
      <c r="L97" s="216" t="s">
        <v>193</v>
      </c>
      <c r="M97" s="216" t="s">
        <v>92</v>
      </c>
      <c r="N97" s="16" t="s">
        <v>69</v>
      </c>
      <c r="O97" s="6"/>
      <c r="P97" s="6" t="s">
        <v>70</v>
      </c>
      <c r="Q97" s="6"/>
      <c r="R97" s="6" t="s">
        <v>70</v>
      </c>
      <c r="S97" s="150" t="s">
        <v>1126</v>
      </c>
      <c r="T97" s="6" t="s">
        <v>72</v>
      </c>
      <c r="U97" s="36">
        <v>4</v>
      </c>
      <c r="V97" s="36">
        <v>10</v>
      </c>
      <c r="W97" s="36" t="s">
        <v>1150</v>
      </c>
      <c r="X97" s="36" t="s">
        <v>125</v>
      </c>
      <c r="Y97" s="6" t="s">
        <v>75</v>
      </c>
      <c r="Z97" s="6" t="s">
        <v>75</v>
      </c>
      <c r="AA97" s="6" t="s">
        <v>75</v>
      </c>
      <c r="AB97" s="6" t="s">
        <v>76</v>
      </c>
      <c r="AC97" s="16" t="s">
        <v>75</v>
      </c>
      <c r="AD97" s="6" t="str">
        <f>_xlfn.TEXTJOIN("/",TRUE,IF(OfertaPlazas[[#This Row],[GITST]]="SI","GITST",""),IF(OfertaPlazas[[#This Row],[GIB]]="SI","GIB",""),IF(OfertaPlazas[[#This Row],[GISD]]="SI","GISD",""),IF(OfertaPlazas[[#This Row],[MASTER]]="SI","MASTER",""))</f>
        <v>GITST/GIB/MASTER</v>
      </c>
      <c r="AE97" s="16" t="s">
        <v>75</v>
      </c>
      <c r="AF97" s="16" t="s">
        <v>75</v>
      </c>
      <c r="AG97" s="16" t="s">
        <v>75</v>
      </c>
      <c r="AH97" s="16" t="s">
        <v>75</v>
      </c>
      <c r="AI97" s="16" t="s">
        <v>75</v>
      </c>
      <c r="AJ97" s="16" t="s">
        <v>75</v>
      </c>
      <c r="AK97" s="16" t="s">
        <v>75</v>
      </c>
      <c r="AL97" s="16" t="s">
        <v>75</v>
      </c>
      <c r="AM97" s="16" t="s">
        <v>75</v>
      </c>
      <c r="AN97" s="16" t="s">
        <v>75</v>
      </c>
      <c r="AO97" s="16" t="s">
        <v>76</v>
      </c>
      <c r="AP97" s="6" t="s">
        <v>76</v>
      </c>
      <c r="AQ97" s="6" t="s">
        <v>75</v>
      </c>
      <c r="AR97" s="6" t="s">
        <v>76</v>
      </c>
      <c r="AS97" s="27" t="s">
        <v>1151</v>
      </c>
      <c r="AT97" s="301" t="s">
        <v>609</v>
      </c>
      <c r="AU97" s="13" t="s">
        <v>1152</v>
      </c>
      <c r="AV97" s="13" t="s">
        <v>1153</v>
      </c>
      <c r="AW97" s="13"/>
      <c r="AX97" s="13"/>
      <c r="AY97" s="90"/>
      <c r="AZ97" s="90"/>
      <c r="BA97" s="90"/>
      <c r="BB97" s="90"/>
      <c r="BC97" s="90"/>
      <c r="BD97" s="90"/>
      <c r="BE97" s="319">
        <f>VLOOKUP(B97,'TEAMS_30-09-2021'!$D:$AG,30,FALSE)</f>
        <v>0</v>
      </c>
      <c r="BF97" s="320" t="str">
        <f>VLOOKUP(B97,'ENCUESTAS JUN-2021'!I:I,1,FALSE)</f>
        <v>Poznan University of Technology</v>
      </c>
      <c r="BG97" s="63" t="str">
        <f>VLOOKUP(B97,'TEAMS_30-09-2021'!D:D,1,FALSE)</f>
        <v>Poznan University of Technology</v>
      </c>
      <c r="BH97" s="13"/>
      <c r="BL97" s="19" t="e">
        <f t="shared" si="2"/>
        <v>#REF!</v>
      </c>
    </row>
    <row r="98" spans="1:64" s="19" customFormat="1" ht="20.100000000000001" hidden="1" customHeight="1">
      <c r="A98" s="357">
        <v>97</v>
      </c>
      <c r="B98" s="13" t="s">
        <v>1154</v>
      </c>
      <c r="C98" s="252" t="s">
        <v>1155</v>
      </c>
      <c r="D98" s="63" t="s">
        <v>1156</v>
      </c>
      <c r="E98" s="6" t="s">
        <v>1157</v>
      </c>
      <c r="F98" s="6" t="s">
        <v>1070</v>
      </c>
      <c r="G98" s="6"/>
      <c r="H98" s="209" t="s">
        <v>1038</v>
      </c>
      <c r="I98" s="216" t="s">
        <v>89</v>
      </c>
      <c r="J98" s="216" t="s">
        <v>89</v>
      </c>
      <c r="K98" s="209" t="s">
        <v>219</v>
      </c>
      <c r="L98" s="216" t="s">
        <v>92</v>
      </c>
      <c r="M98" s="216"/>
      <c r="N98" s="6" t="s">
        <v>69</v>
      </c>
      <c r="O98" s="6"/>
      <c r="P98" s="6" t="s">
        <v>70</v>
      </c>
      <c r="Q98" s="6"/>
      <c r="R98" s="6" t="s">
        <v>70</v>
      </c>
      <c r="S98" s="150" t="s">
        <v>123</v>
      </c>
      <c r="T98" s="6" t="s">
        <v>72</v>
      </c>
      <c r="U98" s="36">
        <v>2</v>
      </c>
      <c r="V98" s="36">
        <v>12</v>
      </c>
      <c r="W98" s="36" t="s">
        <v>1158</v>
      </c>
      <c r="X98" s="36" t="s">
        <v>1159</v>
      </c>
      <c r="Y98" s="6" t="s">
        <v>75</v>
      </c>
      <c r="Z98" s="6" t="s">
        <v>75</v>
      </c>
      <c r="AA98" s="6" t="s">
        <v>75</v>
      </c>
      <c r="AB98" s="6" t="s">
        <v>76</v>
      </c>
      <c r="AC98" s="6" t="s">
        <v>75</v>
      </c>
      <c r="AD98" s="6" t="str">
        <f>_xlfn.TEXTJOIN("/",TRUE,IF(OfertaPlazas[[#This Row],[GITST]]="SI","GITST",""),IF(OfertaPlazas[[#This Row],[GIB]]="SI","GIB",""),IF(OfertaPlazas[[#This Row],[GISD]]="SI","GISD",""),IF(OfertaPlazas[[#This Row],[MASTER]]="SI","MASTER",""))</f>
        <v>GITST/GIB/MASTER</v>
      </c>
      <c r="AE98" s="16" t="s">
        <v>75</v>
      </c>
      <c r="AF98" s="16" t="s">
        <v>75</v>
      </c>
      <c r="AG98" s="16" t="s">
        <v>75</v>
      </c>
      <c r="AH98" s="16" t="s">
        <v>75</v>
      </c>
      <c r="AI98" s="16" t="s">
        <v>75</v>
      </c>
      <c r="AJ98" s="16" t="s">
        <v>75</v>
      </c>
      <c r="AK98" s="16" t="s">
        <v>75</v>
      </c>
      <c r="AL98" s="16" t="s">
        <v>75</v>
      </c>
      <c r="AM98" s="16" t="s">
        <v>75</v>
      </c>
      <c r="AN98" s="16" t="s">
        <v>75</v>
      </c>
      <c r="AO98" s="6" t="s">
        <v>75</v>
      </c>
      <c r="AP98" s="6" t="s">
        <v>75</v>
      </c>
      <c r="AQ98" s="6" t="s">
        <v>75</v>
      </c>
      <c r="AR98" s="6" t="s">
        <v>76</v>
      </c>
      <c r="AS98" s="185" t="s">
        <v>1160</v>
      </c>
      <c r="AT98" s="301"/>
      <c r="AU98" s="72"/>
      <c r="AV98" s="13"/>
      <c r="AW98" s="13"/>
      <c r="AX98" s="13"/>
      <c r="AY98" s="91" t="s">
        <v>1113</v>
      </c>
      <c r="AZ98" s="91" t="s">
        <v>1161</v>
      </c>
      <c r="BA98" s="91" t="s">
        <v>1162</v>
      </c>
      <c r="BB98" s="91" t="s">
        <v>1163</v>
      </c>
      <c r="BC98" s="91" t="s">
        <v>84</v>
      </c>
      <c r="BD98" s="91" t="s">
        <v>1164</v>
      </c>
      <c r="BE98" s="319" t="e">
        <f>VLOOKUP(B98,'TEAMS_30-09-2021'!$D:$AG,30,FALSE)</f>
        <v>#N/A</v>
      </c>
      <c r="BF98" s="320" t="e">
        <f>VLOOKUP(B98,'ENCUESTAS JUN-2021'!I:I,1,FALSE)</f>
        <v>#N/A</v>
      </c>
      <c r="BG98" s="63" t="e">
        <f>VLOOKUP(B98,'TEAMS_30-09-2021'!D:D,1,FALSE)</f>
        <v>#N/A</v>
      </c>
      <c r="BH98" s="13"/>
      <c r="BL98" s="19" t="e">
        <f t="shared" si="2"/>
        <v>#REF!</v>
      </c>
    </row>
    <row r="99" spans="1:64" s="19" customFormat="1" ht="20.100000000000001" hidden="1" customHeight="1">
      <c r="A99" s="357">
        <v>98</v>
      </c>
      <c r="B99" s="13" t="s">
        <v>1165</v>
      </c>
      <c r="C99" s="252" t="s">
        <v>1166</v>
      </c>
      <c r="D99" s="63" t="s">
        <v>1167</v>
      </c>
      <c r="E99" s="6" t="s">
        <v>1168</v>
      </c>
      <c r="F99" s="6" t="s">
        <v>1123</v>
      </c>
      <c r="G99" s="6"/>
      <c r="H99" s="209" t="s">
        <v>959</v>
      </c>
      <c r="I99" s="216" t="s">
        <v>90</v>
      </c>
      <c r="J99" s="216" t="s">
        <v>119</v>
      </c>
      <c r="K99" s="209" t="s">
        <v>478</v>
      </c>
      <c r="L99" s="216" t="s">
        <v>141</v>
      </c>
      <c r="M99" s="216" t="s">
        <v>193</v>
      </c>
      <c r="N99" s="6" t="s">
        <v>69</v>
      </c>
      <c r="O99" s="6"/>
      <c r="P99" s="6" t="s">
        <v>70</v>
      </c>
      <c r="Q99" s="6" t="s">
        <v>70</v>
      </c>
      <c r="R99" s="6" t="s">
        <v>70</v>
      </c>
      <c r="S99" s="150" t="s">
        <v>1169</v>
      </c>
      <c r="T99" s="6" t="s">
        <v>72</v>
      </c>
      <c r="U99" s="36">
        <v>2</v>
      </c>
      <c r="V99" s="36">
        <v>10</v>
      </c>
      <c r="W99" s="36" t="s">
        <v>1170</v>
      </c>
      <c r="X99" s="36" t="s">
        <v>1171</v>
      </c>
      <c r="Y99" s="6" t="s">
        <v>75</v>
      </c>
      <c r="Z99" s="6" t="s">
        <v>75</v>
      </c>
      <c r="AA99" s="6" t="s">
        <v>75</v>
      </c>
      <c r="AB99" s="6" t="s">
        <v>75</v>
      </c>
      <c r="AC99" s="6" t="s">
        <v>75</v>
      </c>
      <c r="AD99" s="6" t="str">
        <f>_xlfn.TEXTJOIN("/",TRUE,IF(OfertaPlazas[[#This Row],[GITST]]="SI","GITST",""),IF(OfertaPlazas[[#This Row],[GIB]]="SI","GIB",""),IF(OfertaPlazas[[#This Row],[GISD]]="SI","GISD",""),IF(OfertaPlazas[[#This Row],[MASTER]]="SI","MASTER",""))</f>
        <v>GITST/GIB/GISD/MASTER</v>
      </c>
      <c r="AE99" s="6" t="s">
        <v>75</v>
      </c>
      <c r="AF99" s="6" t="s">
        <v>75</v>
      </c>
      <c r="AG99" s="6" t="s">
        <v>75</v>
      </c>
      <c r="AH99" s="6" t="s">
        <v>75</v>
      </c>
      <c r="AI99" s="6" t="s">
        <v>75</v>
      </c>
      <c r="AJ99" s="6" t="s">
        <v>75</v>
      </c>
      <c r="AK99" s="6" t="s">
        <v>75</v>
      </c>
      <c r="AL99" s="6" t="s">
        <v>75</v>
      </c>
      <c r="AM99" s="6" t="s">
        <v>75</v>
      </c>
      <c r="AN99" s="6" t="s">
        <v>75</v>
      </c>
      <c r="AO99" s="6" t="s">
        <v>75</v>
      </c>
      <c r="AP99" s="6" t="s">
        <v>75</v>
      </c>
      <c r="AQ99" s="6" t="s">
        <v>75</v>
      </c>
      <c r="AR99" s="6" t="s">
        <v>76</v>
      </c>
      <c r="AS99" s="27" t="s">
        <v>173</v>
      </c>
      <c r="AT99" s="301"/>
      <c r="AU99" s="13"/>
      <c r="AV99" s="13"/>
      <c r="AW99" s="13"/>
      <c r="AX99" s="13"/>
      <c r="AY99" s="90"/>
      <c r="AZ99" s="90"/>
      <c r="BA99" s="90"/>
      <c r="BB99" s="90"/>
      <c r="BC99" s="90"/>
      <c r="BD99" s="90"/>
      <c r="BE99" s="319"/>
      <c r="BF99" s="320"/>
      <c r="BG99" s="63"/>
      <c r="BH99" s="13"/>
      <c r="BL99" s="19" t="e">
        <f t="shared" si="2"/>
        <v>#REF!</v>
      </c>
    </row>
    <row r="100" spans="1:64" s="19" customFormat="1" ht="20.100000000000001" hidden="1" customHeight="1">
      <c r="A100" s="357">
        <v>99</v>
      </c>
      <c r="B100" s="72" t="s">
        <v>1172</v>
      </c>
      <c r="C100" s="252" t="s">
        <v>1173</v>
      </c>
      <c r="D100" s="63" t="s">
        <v>1174</v>
      </c>
      <c r="E100" s="6" t="s">
        <v>1175</v>
      </c>
      <c r="F100" s="6" t="s">
        <v>1123</v>
      </c>
      <c r="G100" s="6"/>
      <c r="H100" s="209" t="s">
        <v>1176</v>
      </c>
      <c r="I100" s="216" t="s">
        <v>169</v>
      </c>
      <c r="J100" s="216" t="s">
        <v>169</v>
      </c>
      <c r="K100" s="209" t="s">
        <v>1177</v>
      </c>
      <c r="L100" s="216" t="s">
        <v>193</v>
      </c>
      <c r="M100" s="216" t="s">
        <v>193</v>
      </c>
      <c r="N100" s="6" t="s">
        <v>69</v>
      </c>
      <c r="O100" s="6" t="s">
        <v>70</v>
      </c>
      <c r="P100" s="6" t="s">
        <v>70</v>
      </c>
      <c r="Q100" s="6"/>
      <c r="R100" s="6"/>
      <c r="S100" s="150" t="s">
        <v>1178</v>
      </c>
      <c r="T100" s="6" t="s">
        <v>72</v>
      </c>
      <c r="U100" s="36">
        <v>2</v>
      </c>
      <c r="V100" s="36">
        <v>12</v>
      </c>
      <c r="W100" s="36" t="s">
        <v>1179</v>
      </c>
      <c r="X100" s="36" t="s">
        <v>125</v>
      </c>
      <c r="Y100" s="6" t="s">
        <v>75</v>
      </c>
      <c r="Z100" s="6" t="s">
        <v>75</v>
      </c>
      <c r="AA100" s="6" t="s">
        <v>76</v>
      </c>
      <c r="AB100" s="6" t="s">
        <v>76</v>
      </c>
      <c r="AC100" s="6" t="s">
        <v>75</v>
      </c>
      <c r="AD100" s="6" t="str">
        <f>_xlfn.TEXTJOIN("/",TRUE,IF(OfertaPlazas[[#This Row],[GITST]]="SI","GITST",""),IF(OfertaPlazas[[#This Row],[GIB]]="SI","GIB",""),IF(OfertaPlazas[[#This Row],[GISD]]="SI","GISD",""),IF(OfertaPlazas[[#This Row],[MASTER]]="SI","MASTER",""))</f>
        <v>GITST/MASTER</v>
      </c>
      <c r="AE100" s="16" t="s">
        <v>75</v>
      </c>
      <c r="AF100" s="16" t="s">
        <v>75</v>
      </c>
      <c r="AG100" s="16" t="s">
        <v>75</v>
      </c>
      <c r="AH100" s="6" t="s">
        <v>75</v>
      </c>
      <c r="AI100" s="6" t="s">
        <v>75</v>
      </c>
      <c r="AJ100" s="6" t="s">
        <v>75</v>
      </c>
      <c r="AK100" s="6" t="s">
        <v>75</v>
      </c>
      <c r="AL100" s="6" t="s">
        <v>75</v>
      </c>
      <c r="AM100" s="6" t="s">
        <v>75</v>
      </c>
      <c r="AN100" s="6" t="s">
        <v>75</v>
      </c>
      <c r="AO100" s="6" t="s">
        <v>75</v>
      </c>
      <c r="AP100" s="6" t="s">
        <v>75</v>
      </c>
      <c r="AQ100" s="6" t="s">
        <v>75</v>
      </c>
      <c r="AR100" s="6" t="s">
        <v>76</v>
      </c>
      <c r="AS100" s="185" t="s">
        <v>173</v>
      </c>
      <c r="AT100" s="301"/>
      <c r="AU100" s="13"/>
      <c r="AV100" s="13" t="s">
        <v>1180</v>
      </c>
      <c r="AW100" s="13"/>
      <c r="AX100" s="13"/>
      <c r="AY100" s="90"/>
      <c r="AZ100" s="90"/>
      <c r="BA100" s="90"/>
      <c r="BB100" s="90"/>
      <c r="BC100" s="90"/>
      <c r="BD100" s="90"/>
      <c r="BE100" s="319">
        <f>VLOOKUP(B100,'TEAMS_30-09-2021'!$D:$AG,30,FALSE)</f>
        <v>0</v>
      </c>
      <c r="BF100" s="319" t="e">
        <f>VLOOKUP(B100,'ENCUESTAS JUN-2021'!I:I,1,FALSE)</f>
        <v>#N/A</v>
      </c>
      <c r="BG100" s="63" t="str">
        <f>VLOOKUP(B100,'TEAMS_30-09-2021'!D:D,1,FALSE)</f>
        <v>West Pomeranian University of Technology</v>
      </c>
      <c r="BH100" s="13"/>
      <c r="BL100" s="19" t="e">
        <f t="shared" si="2"/>
        <v>#REF!</v>
      </c>
    </row>
    <row r="101" spans="1:64" s="19" customFormat="1" ht="20.100000000000001" hidden="1" customHeight="1">
      <c r="A101" s="357">
        <v>100</v>
      </c>
      <c r="B101" s="72" t="s">
        <v>1181</v>
      </c>
      <c r="C101" s="252" t="s">
        <v>1182</v>
      </c>
      <c r="D101" s="63" t="s">
        <v>1183</v>
      </c>
      <c r="E101" s="6" t="s">
        <v>1184</v>
      </c>
      <c r="F101" s="6" t="s">
        <v>1123</v>
      </c>
      <c r="G101" s="6"/>
      <c r="H101" s="266" t="s">
        <v>1185</v>
      </c>
      <c r="I101" s="216" t="s">
        <v>169</v>
      </c>
      <c r="J101" s="216" t="s">
        <v>477</v>
      </c>
      <c r="K101" s="209" t="s">
        <v>1186</v>
      </c>
      <c r="L101" s="216" t="s">
        <v>142</v>
      </c>
      <c r="M101" s="216" t="s">
        <v>208</v>
      </c>
      <c r="N101" s="6" t="s">
        <v>69</v>
      </c>
      <c r="O101" s="6"/>
      <c r="P101" s="6" t="s">
        <v>70</v>
      </c>
      <c r="Q101" s="6" t="s">
        <v>70</v>
      </c>
      <c r="R101" s="6"/>
      <c r="S101" s="150" t="s">
        <v>1187</v>
      </c>
      <c r="T101" s="6" t="s">
        <v>72</v>
      </c>
      <c r="U101" s="36">
        <v>4</v>
      </c>
      <c r="V101" s="36">
        <v>12</v>
      </c>
      <c r="W101" s="380" t="s">
        <v>1188</v>
      </c>
      <c r="X101" s="36" t="s">
        <v>125</v>
      </c>
      <c r="Y101" s="6" t="s">
        <v>75</v>
      </c>
      <c r="Z101" s="6" t="s">
        <v>75</v>
      </c>
      <c r="AA101" s="6" t="s">
        <v>76</v>
      </c>
      <c r="AB101" s="6" t="s">
        <v>75</v>
      </c>
      <c r="AC101" s="6" t="s">
        <v>75</v>
      </c>
      <c r="AD101" s="6" t="str">
        <f>_xlfn.TEXTJOIN("/",TRUE,IF(OfertaPlazas[[#This Row],[GITST]]="SI","GITST",""),IF(OfertaPlazas[[#This Row],[GIB]]="SI","GIB",""),IF(OfertaPlazas[[#This Row],[GISD]]="SI","GISD",""),IF(OfertaPlazas[[#This Row],[MASTER]]="SI","MASTER",""))</f>
        <v>GITST/GISD/MASTER</v>
      </c>
      <c r="AE101" s="16" t="s">
        <v>75</v>
      </c>
      <c r="AF101" s="16" t="s">
        <v>75</v>
      </c>
      <c r="AG101" s="16" t="s">
        <v>75</v>
      </c>
      <c r="AH101" s="16" t="s">
        <v>75</v>
      </c>
      <c r="AI101" s="16" t="s">
        <v>75</v>
      </c>
      <c r="AJ101" s="16" t="s">
        <v>75</v>
      </c>
      <c r="AK101" s="16" t="s">
        <v>75</v>
      </c>
      <c r="AL101" s="16" t="s">
        <v>75</v>
      </c>
      <c r="AM101" s="16" t="s">
        <v>75</v>
      </c>
      <c r="AN101" s="16" t="s">
        <v>75</v>
      </c>
      <c r="AO101" s="6" t="s">
        <v>75</v>
      </c>
      <c r="AP101" s="6" t="s">
        <v>75</v>
      </c>
      <c r="AQ101" s="6" t="s">
        <v>75</v>
      </c>
      <c r="AR101" s="6" t="s">
        <v>76</v>
      </c>
      <c r="AS101" s="27" t="s">
        <v>173</v>
      </c>
      <c r="AT101" s="301" t="s">
        <v>1189</v>
      </c>
      <c r="AU101" s="13" t="s">
        <v>1190</v>
      </c>
      <c r="AV101" s="13"/>
      <c r="AW101" s="13"/>
      <c r="AX101" s="13"/>
      <c r="AY101" s="90"/>
      <c r="AZ101" s="90"/>
      <c r="BA101" s="90"/>
      <c r="BB101" s="90"/>
      <c r="BC101" s="90"/>
      <c r="BD101" s="90"/>
      <c r="BE101" s="319">
        <f>VLOOKUP(B101,'TEAMS_30-09-2021'!$D:$AG,30,FALSE)</f>
        <v>0</v>
      </c>
      <c r="BF101" s="319" t="e">
        <f>VLOOKUP(B101,'ENCUESTAS JUN-2021'!I:I,1,FALSE)</f>
        <v>#N/A</v>
      </c>
      <c r="BG101" s="63" t="str">
        <f>VLOOKUP(B101,'TEAMS_30-09-2021'!D:D,1,FALSE)</f>
        <v>Warsaw University of Technology</v>
      </c>
      <c r="BH101" s="13"/>
      <c r="BL101" s="19" t="e">
        <f t="shared" si="2"/>
        <v>#REF!</v>
      </c>
    </row>
    <row r="102" spans="1:64" s="19" customFormat="1" ht="20.100000000000001" hidden="1" customHeight="1">
      <c r="A102" s="357">
        <v>101</v>
      </c>
      <c r="B102" s="13" t="s">
        <v>1191</v>
      </c>
      <c r="C102" s="252" t="s">
        <v>1192</v>
      </c>
      <c r="D102" s="244" t="s">
        <v>1193</v>
      </c>
      <c r="E102" s="6" t="s">
        <v>1194</v>
      </c>
      <c r="F102" s="16" t="s">
        <v>1123</v>
      </c>
      <c r="G102" s="6"/>
      <c r="H102" s="214" t="s">
        <v>492</v>
      </c>
      <c r="I102" s="222" t="s">
        <v>104</v>
      </c>
      <c r="J102" s="222" t="s">
        <v>139</v>
      </c>
      <c r="K102" s="214" t="s">
        <v>219</v>
      </c>
      <c r="L102" s="216" t="s">
        <v>92</v>
      </c>
      <c r="M102" s="222"/>
      <c r="N102" s="16" t="s">
        <v>69</v>
      </c>
      <c r="O102" s="6"/>
      <c r="P102" s="6" t="s">
        <v>70</v>
      </c>
      <c r="Q102" s="6" t="s">
        <v>70</v>
      </c>
      <c r="R102" s="6"/>
      <c r="S102" s="150" t="s">
        <v>479</v>
      </c>
      <c r="T102" s="54" t="s">
        <v>72</v>
      </c>
      <c r="U102" s="36">
        <v>2</v>
      </c>
      <c r="V102" s="36">
        <v>12</v>
      </c>
      <c r="W102" s="36" t="s">
        <v>1195</v>
      </c>
      <c r="X102" s="36" t="s">
        <v>1196</v>
      </c>
      <c r="Y102" s="6" t="s">
        <v>75</v>
      </c>
      <c r="Z102" s="6" t="s">
        <v>75</v>
      </c>
      <c r="AA102" s="6" t="s">
        <v>76</v>
      </c>
      <c r="AB102" s="6" t="s">
        <v>75</v>
      </c>
      <c r="AC102" s="6" t="s">
        <v>75</v>
      </c>
      <c r="AD102" s="6" t="str">
        <f>_xlfn.TEXTJOIN("/",TRUE,IF(OfertaPlazas[[#This Row],[GITST]]="SI","GITST",""),IF(OfertaPlazas[[#This Row],[GIB]]="SI","GIB",""),IF(OfertaPlazas[[#This Row],[GISD]]="SI","GISD",""),IF(OfertaPlazas[[#This Row],[MASTER]]="SI","MASTER",""))</f>
        <v>GITST/GISD/MASTER</v>
      </c>
      <c r="AE102" s="6" t="s">
        <v>75</v>
      </c>
      <c r="AF102" s="6" t="s">
        <v>75</v>
      </c>
      <c r="AG102" s="6" t="s">
        <v>75</v>
      </c>
      <c r="AH102" s="6" t="s">
        <v>75</v>
      </c>
      <c r="AI102" s="6" t="s">
        <v>75</v>
      </c>
      <c r="AJ102" s="6" t="s">
        <v>75</v>
      </c>
      <c r="AK102" s="6" t="s">
        <v>75</v>
      </c>
      <c r="AL102" s="6" t="s">
        <v>75</v>
      </c>
      <c r="AM102" s="6" t="s">
        <v>75</v>
      </c>
      <c r="AN102" s="6" t="s">
        <v>75</v>
      </c>
      <c r="AO102" s="6" t="s">
        <v>75</v>
      </c>
      <c r="AP102" s="6" t="s">
        <v>75</v>
      </c>
      <c r="AQ102" s="6" t="s">
        <v>75</v>
      </c>
      <c r="AR102" s="6" t="s">
        <v>76</v>
      </c>
      <c r="AS102" s="185" t="s">
        <v>173</v>
      </c>
      <c r="AT102" s="301"/>
      <c r="AU102" s="259"/>
      <c r="AV102" s="305" t="s">
        <v>1197</v>
      </c>
      <c r="AW102" s="305"/>
      <c r="AX102" s="13"/>
      <c r="AY102" s="90"/>
      <c r="AZ102" s="90"/>
      <c r="BA102" s="90"/>
      <c r="BB102" s="90"/>
      <c r="BC102" s="90"/>
      <c r="BD102" s="90"/>
      <c r="BE102" s="319" t="str">
        <f>VLOOKUP(B102,'TEAMS_30-09-2021'!$D:$AG,30,FALSE)</f>
        <v>se añade el área 610 ICTs</v>
      </c>
      <c r="BF102" s="319" t="e">
        <f>VLOOKUP(B102,'ENCUESTAS JUN-2021'!I:I,1,FALSE)</f>
        <v>#N/A</v>
      </c>
      <c r="BG102" s="63" t="str">
        <f>VLOOKUP(B102,'TEAMS_30-09-2021'!D:D,1,FALSE)</f>
        <v>Politechnika Wroclawska / Wroclaw University of Technology</v>
      </c>
      <c r="BH102" s="13"/>
      <c r="BL102" s="19" t="e">
        <f t="shared" si="2"/>
        <v>#REF!</v>
      </c>
    </row>
    <row r="103" spans="1:64" s="19" customFormat="1" ht="20.100000000000001" hidden="1" customHeight="1">
      <c r="A103" s="357">
        <v>102</v>
      </c>
      <c r="B103" s="13" t="s">
        <v>1198</v>
      </c>
      <c r="C103" s="252" t="s">
        <v>1199</v>
      </c>
      <c r="D103" s="63" t="s">
        <v>1200</v>
      </c>
      <c r="E103" s="6" t="s">
        <v>1201</v>
      </c>
      <c r="F103" s="6" t="s">
        <v>1202</v>
      </c>
      <c r="G103" s="6"/>
      <c r="H103" s="209" t="s">
        <v>901</v>
      </c>
      <c r="I103" s="216" t="s">
        <v>119</v>
      </c>
      <c r="J103" s="216" t="s">
        <v>119</v>
      </c>
      <c r="K103" s="209" t="s">
        <v>1087</v>
      </c>
      <c r="L103" s="216" t="s">
        <v>208</v>
      </c>
      <c r="M103" s="216"/>
      <c r="N103" s="6" t="s">
        <v>69</v>
      </c>
      <c r="O103" s="6"/>
      <c r="P103" s="6" t="s">
        <v>70</v>
      </c>
      <c r="Q103" s="6"/>
      <c r="R103" s="6"/>
      <c r="S103" s="150" t="s">
        <v>194</v>
      </c>
      <c r="T103" s="6" t="s">
        <v>72</v>
      </c>
      <c r="U103" s="36">
        <v>2</v>
      </c>
      <c r="V103" s="36">
        <v>12</v>
      </c>
      <c r="W103" s="36" t="s">
        <v>1203</v>
      </c>
      <c r="X103" s="36" t="s">
        <v>125</v>
      </c>
      <c r="Y103" s="6" t="s">
        <v>75</v>
      </c>
      <c r="Z103" s="6" t="s">
        <v>75</v>
      </c>
      <c r="AA103" s="6" t="s">
        <v>76</v>
      </c>
      <c r="AB103" s="6" t="s">
        <v>76</v>
      </c>
      <c r="AC103" s="6" t="s">
        <v>75</v>
      </c>
      <c r="AD103" s="6" t="str">
        <f>_xlfn.TEXTJOIN("/",TRUE,IF(OfertaPlazas[[#This Row],[GITST]]="SI","GITST",""),IF(OfertaPlazas[[#This Row],[GIB]]="SI","GIB",""),IF(OfertaPlazas[[#This Row],[GISD]]="SI","GISD",""),IF(OfertaPlazas[[#This Row],[MASTER]]="SI","MASTER",""))</f>
        <v>GITST/MASTER</v>
      </c>
      <c r="AE103" s="16" t="s">
        <v>75</v>
      </c>
      <c r="AF103" s="16" t="s">
        <v>75</v>
      </c>
      <c r="AG103" s="16" t="s">
        <v>75</v>
      </c>
      <c r="AH103" s="6" t="s">
        <v>75</v>
      </c>
      <c r="AI103" s="6" t="s">
        <v>75</v>
      </c>
      <c r="AJ103" s="6" t="s">
        <v>75</v>
      </c>
      <c r="AK103" s="6" t="s">
        <v>75</v>
      </c>
      <c r="AL103" s="6" t="s">
        <v>75</v>
      </c>
      <c r="AM103" s="6" t="s">
        <v>75</v>
      </c>
      <c r="AN103" s="6" t="s">
        <v>75</v>
      </c>
      <c r="AO103" s="6" t="s">
        <v>75</v>
      </c>
      <c r="AP103" s="6" t="s">
        <v>75</v>
      </c>
      <c r="AQ103" s="6" t="s">
        <v>75</v>
      </c>
      <c r="AR103" s="6" t="s">
        <v>76</v>
      </c>
      <c r="AS103" s="185" t="s">
        <v>173</v>
      </c>
      <c r="AT103" s="301"/>
      <c r="AU103" s="72"/>
      <c r="AV103" s="13"/>
      <c r="AW103" s="13"/>
      <c r="AX103" s="13"/>
      <c r="AY103" s="90"/>
      <c r="AZ103" s="90"/>
      <c r="BA103" s="90"/>
      <c r="BB103" s="90"/>
      <c r="BC103" s="90"/>
      <c r="BD103" s="90"/>
      <c r="BE103" s="319">
        <f>VLOOKUP(B103,'TEAMS_30-09-2021'!$D:$AG,30,FALSE)</f>
        <v>0</v>
      </c>
      <c r="BF103" s="319" t="e">
        <f>VLOOKUP(B103,'ENCUESTAS JUN-2021'!I:I,1,FALSE)</f>
        <v>#N/A</v>
      </c>
      <c r="BG103" s="63" t="str">
        <f>VLOOKUP(B103,'TEAMS_30-09-2021'!D:D,1,FALSE)</f>
        <v>Universitatea "Lucian Blaga" Sibiu</v>
      </c>
      <c r="BH103" s="13"/>
      <c r="BL103" s="19" t="e">
        <f t="shared" si="2"/>
        <v>#REF!</v>
      </c>
    </row>
    <row r="104" spans="1:64" s="19" customFormat="1" ht="20.100000000000001" hidden="1" customHeight="1">
      <c r="A104" s="357">
        <v>103</v>
      </c>
      <c r="B104" s="71" t="s">
        <v>1204</v>
      </c>
      <c r="C104" s="327" t="s">
        <v>1205</v>
      </c>
      <c r="D104" s="221" t="s">
        <v>1206</v>
      </c>
      <c r="E104" s="54" t="s">
        <v>1207</v>
      </c>
      <c r="F104" s="6" t="s">
        <v>1208</v>
      </c>
      <c r="G104" s="6"/>
      <c r="H104" s="266" t="s">
        <v>1209</v>
      </c>
      <c r="I104" s="216" t="s">
        <v>153</v>
      </c>
      <c r="J104" s="216" t="s">
        <v>139</v>
      </c>
      <c r="K104" s="209" t="s">
        <v>1210</v>
      </c>
      <c r="L104" s="216" t="s">
        <v>1211</v>
      </c>
      <c r="M104" s="216" t="s">
        <v>1212</v>
      </c>
      <c r="N104" s="6" t="s">
        <v>69</v>
      </c>
      <c r="O104" s="54" t="s">
        <v>72</v>
      </c>
      <c r="P104" s="54" t="s">
        <v>70</v>
      </c>
      <c r="Q104" s="54"/>
      <c r="R104" s="54"/>
      <c r="S104" s="150" t="s">
        <v>1213</v>
      </c>
      <c r="T104" s="6" t="s">
        <v>72</v>
      </c>
      <c r="U104" s="36">
        <v>2</v>
      </c>
      <c r="V104" s="36">
        <v>12</v>
      </c>
      <c r="W104" s="36" t="s">
        <v>1214</v>
      </c>
      <c r="X104" s="297" t="s">
        <v>1215</v>
      </c>
      <c r="Y104" s="6" t="s">
        <v>75</v>
      </c>
      <c r="Z104" s="6" t="s">
        <v>75</v>
      </c>
      <c r="AA104" s="6" t="s">
        <v>76</v>
      </c>
      <c r="AB104" s="6" t="s">
        <v>76</v>
      </c>
      <c r="AC104" s="6" t="s">
        <v>75</v>
      </c>
      <c r="AD104" s="6" t="str">
        <f>_xlfn.TEXTJOIN("/",TRUE,IF(OfertaPlazas[[#This Row],[GITST]]="SI","GITST",""),IF(OfertaPlazas[[#This Row],[GIB]]="SI","GIB",""),IF(OfertaPlazas[[#This Row],[GISD]]="SI","GISD",""),IF(OfertaPlazas[[#This Row],[MASTER]]="SI","MASTER",""))</f>
        <v>GITST/MASTER</v>
      </c>
      <c r="AE104" s="6" t="s">
        <v>75</v>
      </c>
      <c r="AF104" s="6" t="s">
        <v>75</v>
      </c>
      <c r="AG104" s="6" t="s">
        <v>75</v>
      </c>
      <c r="AH104" s="6" t="s">
        <v>75</v>
      </c>
      <c r="AI104" s="6" t="s">
        <v>75</v>
      </c>
      <c r="AJ104" s="6" t="s">
        <v>75</v>
      </c>
      <c r="AK104" s="6" t="s">
        <v>75</v>
      </c>
      <c r="AL104" s="6" t="s">
        <v>75</v>
      </c>
      <c r="AM104" s="6" t="s">
        <v>75</v>
      </c>
      <c r="AN104" s="6" t="s">
        <v>75</v>
      </c>
      <c r="AO104" s="6" t="s">
        <v>75</v>
      </c>
      <c r="AP104" s="6" t="s">
        <v>75</v>
      </c>
      <c r="AQ104" s="6" t="s">
        <v>75</v>
      </c>
      <c r="AR104" s="6" t="s">
        <v>76</v>
      </c>
      <c r="AS104" s="27" t="s">
        <v>173</v>
      </c>
      <c r="AT104" s="301" t="s">
        <v>609</v>
      </c>
      <c r="AU104" s="13"/>
      <c r="AV104" s="259" t="s">
        <v>1216</v>
      </c>
      <c r="AW104" s="328"/>
      <c r="AX104" s="71"/>
      <c r="AY104" s="90"/>
      <c r="AZ104" s="90"/>
      <c r="BA104" s="90"/>
      <c r="BB104" s="90"/>
      <c r="BC104" s="90"/>
      <c r="BD104" s="90"/>
      <c r="BE104" s="322"/>
      <c r="BF104" s="319"/>
      <c r="BG104" s="221"/>
      <c r="BH104" s="13"/>
      <c r="BL104" s="19" t="e">
        <f t="shared" si="2"/>
        <v>#REF!</v>
      </c>
    </row>
    <row r="105" spans="1:64" s="19" customFormat="1" ht="20.100000000000001" hidden="1" customHeight="1">
      <c r="A105" s="357">
        <v>104</v>
      </c>
      <c r="B105" s="13" t="s">
        <v>1217</v>
      </c>
      <c r="C105" s="252" t="s">
        <v>1218</v>
      </c>
      <c r="D105" s="63" t="s">
        <v>1219</v>
      </c>
      <c r="E105" s="6" t="s">
        <v>1220</v>
      </c>
      <c r="F105" s="6" t="s">
        <v>1221</v>
      </c>
      <c r="G105" s="6"/>
      <c r="H105" s="209" t="s">
        <v>1222</v>
      </c>
      <c r="I105" s="216" t="s">
        <v>361</v>
      </c>
      <c r="J105" s="216" t="s">
        <v>1223</v>
      </c>
      <c r="K105" s="209" t="s">
        <v>1224</v>
      </c>
      <c r="L105" s="216" t="s">
        <v>443</v>
      </c>
      <c r="M105" s="216" t="s">
        <v>141</v>
      </c>
      <c r="N105" s="6" t="s">
        <v>69</v>
      </c>
      <c r="O105" s="6"/>
      <c r="P105" s="6" t="s">
        <v>70</v>
      </c>
      <c r="Q105" s="6"/>
      <c r="R105" s="6"/>
      <c r="S105" s="150" t="s">
        <v>194</v>
      </c>
      <c r="T105" s="6" t="s">
        <v>72</v>
      </c>
      <c r="U105" s="36">
        <v>2</v>
      </c>
      <c r="V105" s="36">
        <v>12</v>
      </c>
      <c r="W105" s="36" t="s">
        <v>1225</v>
      </c>
      <c r="X105" s="36" t="s">
        <v>125</v>
      </c>
      <c r="Y105" s="6" t="s">
        <v>75</v>
      </c>
      <c r="Z105" s="6" t="s">
        <v>75</v>
      </c>
      <c r="AA105" s="6" t="s">
        <v>76</v>
      </c>
      <c r="AB105" s="6" t="s">
        <v>76</v>
      </c>
      <c r="AC105" s="6" t="s">
        <v>75</v>
      </c>
      <c r="AD105" s="6" t="str">
        <f>_xlfn.TEXTJOIN("/",TRUE,IF(OfertaPlazas[[#This Row],[GITST]]="SI","GITST",""),IF(OfertaPlazas[[#This Row],[GIB]]="SI","GIB",""),IF(OfertaPlazas[[#This Row],[GISD]]="SI","GISD",""),IF(OfertaPlazas[[#This Row],[MASTER]]="SI","MASTER",""))</f>
        <v>GITST/MASTER</v>
      </c>
      <c r="AE105" s="6" t="s">
        <v>75</v>
      </c>
      <c r="AF105" s="6" t="s">
        <v>75</v>
      </c>
      <c r="AG105" s="16" t="s">
        <v>75</v>
      </c>
      <c r="AH105" s="6" t="s">
        <v>75</v>
      </c>
      <c r="AI105" s="6" t="s">
        <v>75</v>
      </c>
      <c r="AJ105" s="6" t="s">
        <v>75</v>
      </c>
      <c r="AK105" s="6" t="s">
        <v>75</v>
      </c>
      <c r="AL105" s="6" t="s">
        <v>75</v>
      </c>
      <c r="AM105" s="6" t="s">
        <v>75</v>
      </c>
      <c r="AN105" s="6" t="s">
        <v>75</v>
      </c>
      <c r="AO105" s="6" t="s">
        <v>75</v>
      </c>
      <c r="AP105" s="6" t="s">
        <v>75</v>
      </c>
      <c r="AQ105" s="6" t="s">
        <v>75</v>
      </c>
      <c r="AR105" s="6" t="s">
        <v>76</v>
      </c>
      <c r="AS105" s="27" t="s">
        <v>1151</v>
      </c>
      <c r="AT105" s="301"/>
      <c r="AU105" s="302"/>
      <c r="AV105" s="13"/>
      <c r="AW105" s="13"/>
      <c r="AX105" s="13"/>
      <c r="AY105" s="92" t="s">
        <v>81</v>
      </c>
      <c r="AZ105" s="92" t="s">
        <v>1226</v>
      </c>
      <c r="BA105" s="92"/>
      <c r="BB105" s="94" t="s">
        <v>1227</v>
      </c>
      <c r="BC105" s="92" t="s">
        <v>721</v>
      </c>
      <c r="BD105" s="92"/>
      <c r="BE105" s="319">
        <f>VLOOKUP(B105,'TEAMS_30-09-2021'!$D:$AG,30,FALSE)</f>
        <v>0</v>
      </c>
      <c r="BF105" s="319" t="e">
        <f>VLOOKUP(B105,'ENCUESTAS JUN-2021'!I:I,1,FALSE)</f>
        <v>#N/A</v>
      </c>
      <c r="BG105" s="63" t="str">
        <f>VLOOKUP(B105,'TEAMS_30-09-2021'!D:D,1,FALSE)</f>
        <v>Jönköping University</v>
      </c>
      <c r="BH105" s="13"/>
      <c r="BL105" s="19" t="e">
        <f t="shared" si="2"/>
        <v>#REF!</v>
      </c>
    </row>
    <row r="106" spans="1:64" s="19" customFormat="1" ht="20.100000000000001" hidden="1" customHeight="1">
      <c r="A106" s="357">
        <v>105</v>
      </c>
      <c r="B106" s="13" t="s">
        <v>1228</v>
      </c>
      <c r="C106" s="252" t="s">
        <v>1229</v>
      </c>
      <c r="D106" s="63" t="s">
        <v>1230</v>
      </c>
      <c r="E106" s="6" t="s">
        <v>1231</v>
      </c>
      <c r="F106" s="6" t="s">
        <v>1221</v>
      </c>
      <c r="G106" s="6"/>
      <c r="H106" s="209" t="s">
        <v>1232</v>
      </c>
      <c r="I106" s="216" t="s">
        <v>153</v>
      </c>
      <c r="J106" s="216" t="s">
        <v>1233</v>
      </c>
      <c r="K106" s="209" t="s">
        <v>219</v>
      </c>
      <c r="L106" s="216" t="s">
        <v>92</v>
      </c>
      <c r="M106" s="216" t="s">
        <v>92</v>
      </c>
      <c r="N106" s="6" t="s">
        <v>69</v>
      </c>
      <c r="O106" s="6"/>
      <c r="P106" s="6" t="s">
        <v>70</v>
      </c>
      <c r="Q106" s="6"/>
      <c r="R106" s="6"/>
      <c r="S106" s="150" t="s">
        <v>194</v>
      </c>
      <c r="T106" s="6" t="s">
        <v>72</v>
      </c>
      <c r="U106" s="36">
        <v>2</v>
      </c>
      <c r="V106" s="36">
        <v>12</v>
      </c>
      <c r="W106" s="36" t="s">
        <v>1234</v>
      </c>
      <c r="X106" s="36" t="s">
        <v>125</v>
      </c>
      <c r="Y106" s="6" t="s">
        <v>75</v>
      </c>
      <c r="Z106" s="6" t="s">
        <v>75</v>
      </c>
      <c r="AA106" s="6" t="s">
        <v>76</v>
      </c>
      <c r="AB106" s="6" t="s">
        <v>76</v>
      </c>
      <c r="AC106" s="6" t="s">
        <v>75</v>
      </c>
      <c r="AD106" s="6" t="str">
        <f>_xlfn.TEXTJOIN("/",TRUE,IF(OfertaPlazas[[#This Row],[GITST]]="SI","GITST",""),IF(OfertaPlazas[[#This Row],[GIB]]="SI","GIB",""),IF(OfertaPlazas[[#This Row],[GISD]]="SI","GISD",""),IF(OfertaPlazas[[#This Row],[MASTER]]="SI","MASTER",""))</f>
        <v>GITST/MASTER</v>
      </c>
      <c r="AE106" s="6" t="s">
        <v>75</v>
      </c>
      <c r="AF106" s="6" t="s">
        <v>75</v>
      </c>
      <c r="AG106" s="16" t="s">
        <v>75</v>
      </c>
      <c r="AH106" s="6" t="s">
        <v>75</v>
      </c>
      <c r="AI106" s="6" t="s">
        <v>75</v>
      </c>
      <c r="AJ106" s="6" t="s">
        <v>75</v>
      </c>
      <c r="AK106" s="6" t="s">
        <v>75</v>
      </c>
      <c r="AL106" s="6" t="s">
        <v>75</v>
      </c>
      <c r="AM106" s="6" t="s">
        <v>75</v>
      </c>
      <c r="AN106" s="6" t="s">
        <v>75</v>
      </c>
      <c r="AO106" s="6" t="s">
        <v>75</v>
      </c>
      <c r="AP106" s="6" t="s">
        <v>75</v>
      </c>
      <c r="AQ106" s="6" t="s">
        <v>75</v>
      </c>
      <c r="AR106" s="6" t="s">
        <v>76</v>
      </c>
      <c r="AS106" s="185" t="s">
        <v>173</v>
      </c>
      <c r="AT106" s="301"/>
      <c r="AU106" s="13" t="s">
        <v>1235</v>
      </c>
      <c r="AV106" s="13"/>
      <c r="AW106" s="13"/>
      <c r="AX106" s="13"/>
      <c r="AY106" s="92" t="s">
        <v>81</v>
      </c>
      <c r="AZ106" s="92" t="s">
        <v>1236</v>
      </c>
      <c r="BA106" s="92"/>
      <c r="BB106" s="92"/>
      <c r="BC106" s="92" t="s">
        <v>721</v>
      </c>
      <c r="BD106" s="92"/>
      <c r="BE106" s="319">
        <f>VLOOKUP(B106,'TEAMS_30-09-2021'!$D:$AG,30,FALSE)</f>
        <v>0</v>
      </c>
      <c r="BF106" s="319" t="e">
        <f>VLOOKUP(B106,'ENCUESTAS JUN-2021'!I:I,1,FALSE)</f>
        <v>#N/A</v>
      </c>
      <c r="BG106" s="63" t="str">
        <f>VLOOKUP(B106,'TEAMS_30-09-2021'!D:D,1,FALSE)</f>
        <v>Blekinge Institute of Technology</v>
      </c>
      <c r="BH106" s="13"/>
      <c r="BL106" s="19" t="e">
        <f t="shared" si="2"/>
        <v>#REF!</v>
      </c>
    </row>
    <row r="107" spans="1:64" s="19" customFormat="1" ht="20.100000000000001" hidden="1" customHeight="1">
      <c r="A107" s="357">
        <v>106</v>
      </c>
      <c r="B107" s="13" t="s">
        <v>1237</v>
      </c>
      <c r="C107" s="252" t="s">
        <v>1238</v>
      </c>
      <c r="D107" s="63" t="s">
        <v>1239</v>
      </c>
      <c r="E107" s="6" t="s">
        <v>1240</v>
      </c>
      <c r="F107" s="6" t="s">
        <v>1221</v>
      </c>
      <c r="G107" s="6"/>
      <c r="H107" s="209" t="s">
        <v>752</v>
      </c>
      <c r="I107" s="216" t="s">
        <v>103</v>
      </c>
      <c r="J107" s="216" t="s">
        <v>153</v>
      </c>
      <c r="K107" s="209" t="s">
        <v>1241</v>
      </c>
      <c r="L107" s="216" t="s">
        <v>141</v>
      </c>
      <c r="M107" s="216"/>
      <c r="N107" s="6" t="s">
        <v>69</v>
      </c>
      <c r="O107" s="6" t="s">
        <v>70</v>
      </c>
      <c r="P107" s="6"/>
      <c r="Q107" s="6"/>
      <c r="R107" s="6" t="s">
        <v>70</v>
      </c>
      <c r="S107" s="150" t="s">
        <v>1242</v>
      </c>
      <c r="T107" s="6" t="s">
        <v>72</v>
      </c>
      <c r="U107" s="36">
        <v>2</v>
      </c>
      <c r="V107" s="36">
        <v>12</v>
      </c>
      <c r="W107" s="36" t="s">
        <v>1243</v>
      </c>
      <c r="X107" s="36" t="s">
        <v>125</v>
      </c>
      <c r="Y107" s="6" t="s">
        <v>75</v>
      </c>
      <c r="Z107" s="6" t="s">
        <v>75</v>
      </c>
      <c r="AA107" s="6" t="s">
        <v>75</v>
      </c>
      <c r="AB107" s="6" t="s">
        <v>76</v>
      </c>
      <c r="AC107" s="6" t="s">
        <v>75</v>
      </c>
      <c r="AD107" s="6" t="str">
        <f>_xlfn.TEXTJOIN("/",TRUE,IF(OfertaPlazas[[#This Row],[GITST]]="SI","GITST",""),IF(OfertaPlazas[[#This Row],[GIB]]="SI","GIB",""),IF(OfertaPlazas[[#This Row],[GISD]]="SI","GISD",""),IF(OfertaPlazas[[#This Row],[MASTER]]="SI","MASTER",""))</f>
        <v>GITST/GIB/MASTER</v>
      </c>
      <c r="AE107" s="16" t="s">
        <v>76</v>
      </c>
      <c r="AF107" s="16" t="s">
        <v>76</v>
      </c>
      <c r="AG107" s="16" t="s">
        <v>76</v>
      </c>
      <c r="AH107" s="16" t="s">
        <v>75</v>
      </c>
      <c r="AI107" s="16" t="s">
        <v>75</v>
      </c>
      <c r="AJ107" s="16" t="s">
        <v>75</v>
      </c>
      <c r="AK107" s="16" t="s">
        <v>75</v>
      </c>
      <c r="AL107" s="16" t="s">
        <v>75</v>
      </c>
      <c r="AM107" s="16" t="s">
        <v>75</v>
      </c>
      <c r="AN107" s="16" t="s">
        <v>75</v>
      </c>
      <c r="AO107" s="6" t="s">
        <v>75</v>
      </c>
      <c r="AP107" s="6" t="s">
        <v>75</v>
      </c>
      <c r="AQ107" s="6" t="s">
        <v>75</v>
      </c>
      <c r="AR107" s="6" t="s">
        <v>76</v>
      </c>
      <c r="AS107" s="185" t="s">
        <v>173</v>
      </c>
      <c r="AT107" s="301"/>
      <c r="AU107" s="259" t="s">
        <v>1244</v>
      </c>
      <c r="AV107" s="259" t="s">
        <v>1245</v>
      </c>
      <c r="AW107" s="63" t="s">
        <v>48</v>
      </c>
      <c r="AX107" s="13" t="s">
        <v>48</v>
      </c>
      <c r="AY107" s="92" t="s">
        <v>81</v>
      </c>
      <c r="AZ107" s="92" t="s">
        <v>1246</v>
      </c>
      <c r="BA107" s="92"/>
      <c r="BB107" s="92"/>
      <c r="BC107" s="92" t="s">
        <v>721</v>
      </c>
      <c r="BD107" s="92"/>
      <c r="BE107" s="319">
        <f>VLOOKUP(B107,'TEAMS_30-09-2021'!$D:$AG,30,FALSE)</f>
        <v>0</v>
      </c>
      <c r="BF107" s="319" t="e">
        <f>VLOOKUP(B107,'ENCUESTAS JUN-2021'!I:I,1,FALSE)</f>
        <v>#N/A</v>
      </c>
      <c r="BG107" s="63" t="str">
        <f>VLOOKUP(B107,'TEAMS_30-09-2021'!D:D,1,FALSE)</f>
        <v>Linköping University - Faculty of Science and Engineering</v>
      </c>
      <c r="BH107" s="13"/>
      <c r="BL107" s="19" t="e">
        <f>VLOOKUP(E107,#REF!,1,FALSE)</f>
        <v>#REF!</v>
      </c>
    </row>
    <row r="108" spans="1:64" s="19" customFormat="1" ht="20.100000000000001" hidden="1" customHeight="1">
      <c r="A108" s="357">
        <v>107</v>
      </c>
      <c r="B108" s="72" t="s">
        <v>1247</v>
      </c>
      <c r="C108" s="252" t="s">
        <v>1248</v>
      </c>
      <c r="D108" s="63" t="s">
        <v>1249</v>
      </c>
      <c r="E108" s="6" t="s">
        <v>1250</v>
      </c>
      <c r="F108" s="6" t="s">
        <v>1202</v>
      </c>
      <c r="G108" s="6"/>
      <c r="H108" s="209" t="s">
        <v>884</v>
      </c>
      <c r="I108" s="216" t="s">
        <v>118</v>
      </c>
      <c r="J108" s="216" t="s">
        <v>118</v>
      </c>
      <c r="K108" s="209"/>
      <c r="L108" s="216" t="s">
        <v>118</v>
      </c>
      <c r="M108" s="216"/>
      <c r="N108" s="6" t="s">
        <v>69</v>
      </c>
      <c r="O108" s="6"/>
      <c r="P108" s="6" t="s">
        <v>70</v>
      </c>
      <c r="Q108" s="6"/>
      <c r="R108" s="6"/>
      <c r="S108" s="150" t="s">
        <v>194</v>
      </c>
      <c r="T108" s="6" t="s">
        <v>72</v>
      </c>
      <c r="U108" s="36">
        <v>1</v>
      </c>
      <c r="V108" s="36">
        <v>12</v>
      </c>
      <c r="W108" s="36" t="s">
        <v>1251</v>
      </c>
      <c r="X108" s="36" t="s">
        <v>125</v>
      </c>
      <c r="Y108" s="6" t="s">
        <v>75</v>
      </c>
      <c r="Z108" s="6" t="s">
        <v>75</v>
      </c>
      <c r="AA108" s="6" t="s">
        <v>76</v>
      </c>
      <c r="AB108" s="6" t="s">
        <v>76</v>
      </c>
      <c r="AC108" s="6" t="s">
        <v>75</v>
      </c>
      <c r="AD108" s="6" t="str">
        <f>_xlfn.TEXTJOIN("/",TRUE,IF(OfertaPlazas[[#This Row],[GITST]]="SI","GITST",""),IF(OfertaPlazas[[#This Row],[GIB]]="SI","GIB",""),IF(OfertaPlazas[[#This Row],[GISD]]="SI","GISD",""),IF(OfertaPlazas[[#This Row],[MASTER]]="SI","MASTER",""))</f>
        <v>GITST/MASTER</v>
      </c>
      <c r="AE108" s="16" t="s">
        <v>75</v>
      </c>
      <c r="AF108" s="16" t="s">
        <v>75</v>
      </c>
      <c r="AG108" s="16" t="s">
        <v>75</v>
      </c>
      <c r="AH108" s="16" t="s">
        <v>75</v>
      </c>
      <c r="AI108" s="16" t="s">
        <v>75</v>
      </c>
      <c r="AJ108" s="16" t="s">
        <v>75</v>
      </c>
      <c r="AK108" s="16" t="s">
        <v>75</v>
      </c>
      <c r="AL108" s="16" t="s">
        <v>75</v>
      </c>
      <c r="AM108" s="16" t="s">
        <v>75</v>
      </c>
      <c r="AN108" s="16" t="s">
        <v>75</v>
      </c>
      <c r="AO108" s="6" t="s">
        <v>75</v>
      </c>
      <c r="AP108" s="16" t="s">
        <v>75</v>
      </c>
      <c r="AQ108" s="6" t="s">
        <v>75</v>
      </c>
      <c r="AR108" s="6" t="s">
        <v>76</v>
      </c>
      <c r="AS108" s="185" t="s">
        <v>173</v>
      </c>
      <c r="AT108" s="301"/>
      <c r="AU108" s="13"/>
      <c r="AV108" s="13"/>
      <c r="AW108" s="13"/>
      <c r="AX108" s="13"/>
      <c r="AY108" s="90"/>
      <c r="AZ108" s="90"/>
      <c r="BA108" s="90"/>
      <c r="BB108" s="90"/>
      <c r="BC108" s="90"/>
      <c r="BD108" s="90"/>
      <c r="BE108" s="319" t="e">
        <f>VLOOKUP(B108,'TEAMS_30-09-2021'!$D:$AG,30,FALSE)</f>
        <v>#N/A</v>
      </c>
      <c r="BF108" s="319" t="e">
        <f>VLOOKUP(B108,'ENCUESTAS JUN-2021'!I:I,1,FALSE)</f>
        <v>#N/A</v>
      </c>
      <c r="BG108" s="63" t="e">
        <f>VLOOKUP(B108,'TEAMS_30-09-2021'!D:D,1,FALSE)</f>
        <v>#N/A</v>
      </c>
      <c r="BH108" s="13"/>
      <c r="BL108" s="19" t="e">
        <f>VLOOKUP(E108,#REF!,1,FALSE)</f>
        <v>#REF!</v>
      </c>
    </row>
    <row r="109" spans="1:64" s="19" customFormat="1" ht="20.100000000000001" hidden="1" customHeight="1">
      <c r="A109" s="357">
        <v>108</v>
      </c>
      <c r="B109" s="13" t="s">
        <v>1252</v>
      </c>
      <c r="C109" s="252" t="s">
        <v>1253</v>
      </c>
      <c r="D109" s="63" t="s">
        <v>1254</v>
      </c>
      <c r="E109" s="6" t="s">
        <v>1255</v>
      </c>
      <c r="F109" s="6" t="s">
        <v>1221</v>
      </c>
      <c r="G109" s="6"/>
      <c r="H109" s="209" t="s">
        <v>1256</v>
      </c>
      <c r="I109" s="216" t="s">
        <v>1257</v>
      </c>
      <c r="J109" s="216" t="s">
        <v>153</v>
      </c>
      <c r="K109" s="209" t="s">
        <v>1258</v>
      </c>
      <c r="L109" s="216" t="s">
        <v>192</v>
      </c>
      <c r="M109" s="216" t="s">
        <v>141</v>
      </c>
      <c r="N109" s="6" t="s">
        <v>69</v>
      </c>
      <c r="O109" s="6"/>
      <c r="P109" s="6" t="s">
        <v>70</v>
      </c>
      <c r="Q109" s="6" t="s">
        <v>70</v>
      </c>
      <c r="R109" s="6"/>
      <c r="S109" s="150" t="s">
        <v>1259</v>
      </c>
      <c r="T109" s="6" t="s">
        <v>72</v>
      </c>
      <c r="U109" s="36">
        <v>4</v>
      </c>
      <c r="V109" s="36">
        <v>12</v>
      </c>
      <c r="W109" s="36" t="s">
        <v>1260</v>
      </c>
      <c r="X109" s="36" t="s">
        <v>1261</v>
      </c>
      <c r="Y109" s="6" t="s">
        <v>75</v>
      </c>
      <c r="Z109" s="6" t="s">
        <v>75</v>
      </c>
      <c r="AA109" s="6" t="s">
        <v>76</v>
      </c>
      <c r="AB109" s="6" t="s">
        <v>75</v>
      </c>
      <c r="AC109" s="6" t="s">
        <v>75</v>
      </c>
      <c r="AD109" s="6" t="str">
        <f>_xlfn.TEXTJOIN("/",TRUE,IF(OfertaPlazas[[#This Row],[GITST]]="SI","GITST",""),IF(OfertaPlazas[[#This Row],[GIB]]="SI","GIB",""),IF(OfertaPlazas[[#This Row],[GISD]]="SI","GISD",""),IF(OfertaPlazas[[#This Row],[MASTER]]="SI","MASTER",""))</f>
        <v>GITST/GISD/MASTER</v>
      </c>
      <c r="AE109" s="16" t="s">
        <v>75</v>
      </c>
      <c r="AF109" s="16" t="s">
        <v>75</v>
      </c>
      <c r="AG109" s="16" t="s">
        <v>75</v>
      </c>
      <c r="AH109" s="16" t="s">
        <v>75</v>
      </c>
      <c r="AI109" s="16" t="s">
        <v>75</v>
      </c>
      <c r="AJ109" s="16" t="s">
        <v>76</v>
      </c>
      <c r="AK109" s="16" t="s">
        <v>76</v>
      </c>
      <c r="AL109" s="16" t="s">
        <v>75</v>
      </c>
      <c r="AM109" s="16" t="s">
        <v>76</v>
      </c>
      <c r="AN109" s="16" t="s">
        <v>76</v>
      </c>
      <c r="AO109" s="6" t="s">
        <v>75</v>
      </c>
      <c r="AP109" s="6" t="s">
        <v>75</v>
      </c>
      <c r="AQ109" s="6" t="s">
        <v>75</v>
      </c>
      <c r="AR109" s="6" t="s">
        <v>76</v>
      </c>
      <c r="AS109" s="185" t="s">
        <v>173</v>
      </c>
      <c r="AT109" s="301"/>
      <c r="AU109" s="259" t="s">
        <v>1262</v>
      </c>
      <c r="AV109" s="13"/>
      <c r="AW109" s="13"/>
      <c r="AX109" s="13"/>
      <c r="AY109" s="92" t="s">
        <v>129</v>
      </c>
      <c r="AZ109" s="92" t="s">
        <v>1263</v>
      </c>
      <c r="BA109" s="92"/>
      <c r="BB109" s="92"/>
      <c r="BC109" s="92" t="s">
        <v>748</v>
      </c>
      <c r="BD109" s="92"/>
      <c r="BE109" s="319">
        <f>VLOOKUP(B109,'TEAMS_30-09-2021'!$D:$AG,30,FALSE)</f>
        <v>0</v>
      </c>
      <c r="BF109" s="319" t="e">
        <f>VLOOKUP(B109,'ENCUESTAS JUN-2021'!I:I,1,FALSE)</f>
        <v>#N/A</v>
      </c>
      <c r="BG109" s="63" t="str">
        <f>VLOOKUP(B109,'TEAMS_30-09-2021'!D:D,1,FALSE)</f>
        <v>Luleå University of Technology</v>
      </c>
      <c r="BH109" s="13"/>
      <c r="BL109" s="19" t="e">
        <f t="shared" si="2"/>
        <v>#REF!</v>
      </c>
    </row>
    <row r="110" spans="1:64" s="19" customFormat="1" ht="20.100000000000001" hidden="1" customHeight="1">
      <c r="A110" s="357">
        <v>109</v>
      </c>
      <c r="B110" s="71" t="s">
        <v>1264</v>
      </c>
      <c r="C110" s="327" t="s">
        <v>1265</v>
      </c>
      <c r="D110" s="221" t="s">
        <v>1249</v>
      </c>
      <c r="E110" s="54" t="s">
        <v>1266</v>
      </c>
      <c r="F110" s="6" t="s">
        <v>1202</v>
      </c>
      <c r="G110" s="6"/>
      <c r="H110" s="209" t="s">
        <v>901</v>
      </c>
      <c r="I110" s="216" t="s">
        <v>119</v>
      </c>
      <c r="J110" s="216" t="s">
        <v>119</v>
      </c>
      <c r="K110" s="209" t="s">
        <v>1087</v>
      </c>
      <c r="L110" s="216" t="s">
        <v>119</v>
      </c>
      <c r="M110" s="216"/>
      <c r="N110" s="6" t="s">
        <v>69</v>
      </c>
      <c r="O110" s="6" t="s">
        <v>628</v>
      </c>
      <c r="P110" s="6" t="s">
        <v>72</v>
      </c>
      <c r="Q110" s="6"/>
      <c r="R110" s="6" t="s">
        <v>70</v>
      </c>
      <c r="S110" s="150" t="s">
        <v>1126</v>
      </c>
      <c r="T110" s="6" t="s">
        <v>72</v>
      </c>
      <c r="U110" s="36">
        <v>2</v>
      </c>
      <c r="V110" s="36">
        <v>12</v>
      </c>
      <c r="W110" s="36" t="s">
        <v>1267</v>
      </c>
      <c r="X110" s="36" t="s">
        <v>1268</v>
      </c>
      <c r="Y110" s="6" t="s">
        <v>75</v>
      </c>
      <c r="Z110" s="6" t="s">
        <v>75</v>
      </c>
      <c r="AA110" s="6" t="s">
        <v>75</v>
      </c>
      <c r="AB110" s="6" t="s">
        <v>76</v>
      </c>
      <c r="AC110" s="6" t="s">
        <v>75</v>
      </c>
      <c r="AD110" s="6" t="str">
        <f>_xlfn.TEXTJOIN("/",TRUE,IF(OfertaPlazas[[#This Row],[GITST]]="SI","GITST",""),IF(OfertaPlazas[[#This Row],[GIB]]="SI","GIB",""),IF(OfertaPlazas[[#This Row],[GISD]]="SI","GISD",""),IF(OfertaPlazas[[#This Row],[MASTER]]="SI","MASTER",""))</f>
        <v>GITST/GIB/MASTER</v>
      </c>
      <c r="AE110" s="6" t="s">
        <v>75</v>
      </c>
      <c r="AF110" s="6" t="s">
        <v>75</v>
      </c>
      <c r="AG110" s="6" t="s">
        <v>75</v>
      </c>
      <c r="AH110" s="6" t="s">
        <v>75</v>
      </c>
      <c r="AI110" s="6" t="s">
        <v>75</v>
      </c>
      <c r="AJ110" s="6" t="s">
        <v>75</v>
      </c>
      <c r="AK110" s="6" t="s">
        <v>75</v>
      </c>
      <c r="AL110" s="6" t="s">
        <v>75</v>
      </c>
      <c r="AM110" s="6" t="s">
        <v>75</v>
      </c>
      <c r="AN110" s="6" t="s">
        <v>75</v>
      </c>
      <c r="AO110" s="6" t="s">
        <v>75</v>
      </c>
      <c r="AP110" s="6" t="s">
        <v>75</v>
      </c>
      <c r="AQ110" s="6" t="s">
        <v>75</v>
      </c>
      <c r="AR110" s="6" t="s">
        <v>76</v>
      </c>
      <c r="AS110" s="185" t="s">
        <v>211</v>
      </c>
      <c r="AT110" s="301"/>
      <c r="AU110" s="331" t="s">
        <v>1269</v>
      </c>
      <c r="AV110" s="71" t="s">
        <v>1270</v>
      </c>
      <c r="AW110" s="13"/>
      <c r="AX110" s="13"/>
      <c r="AY110" s="90"/>
      <c r="AZ110" s="90"/>
      <c r="BA110" s="90"/>
      <c r="BB110" s="90"/>
      <c r="BC110" s="90"/>
      <c r="BD110" s="90"/>
      <c r="BE110" s="319"/>
      <c r="BF110" s="319"/>
      <c r="BG110" s="63"/>
      <c r="BH110" s="13"/>
      <c r="BL110" s="19" t="e">
        <f t="shared" si="2"/>
        <v>#REF!</v>
      </c>
    </row>
    <row r="111" spans="1:64" s="19" customFormat="1" ht="20.100000000000001" hidden="1" customHeight="1">
      <c r="A111" s="357">
        <v>110</v>
      </c>
      <c r="B111" s="72" t="s">
        <v>1271</v>
      </c>
      <c r="C111" s="252" t="s">
        <v>1272</v>
      </c>
      <c r="D111" s="63" t="s">
        <v>1273</v>
      </c>
      <c r="E111" s="6" t="s">
        <v>1274</v>
      </c>
      <c r="F111" s="6" t="s">
        <v>1221</v>
      </c>
      <c r="G111" s="54"/>
      <c r="H111" s="209" t="s">
        <v>1275</v>
      </c>
      <c r="I111" s="216" t="s">
        <v>229</v>
      </c>
      <c r="J111" s="216" t="s">
        <v>153</v>
      </c>
      <c r="K111" s="209" t="s">
        <v>1276</v>
      </c>
      <c r="L111" s="216" t="s">
        <v>192</v>
      </c>
      <c r="M111" s="216" t="s">
        <v>141</v>
      </c>
      <c r="N111" s="6" t="s">
        <v>69</v>
      </c>
      <c r="O111" s="6"/>
      <c r="P111" s="6" t="s">
        <v>70</v>
      </c>
      <c r="Q111" s="6" t="s">
        <v>70</v>
      </c>
      <c r="R111" s="6" t="s">
        <v>70</v>
      </c>
      <c r="S111" s="150" t="s">
        <v>1169</v>
      </c>
      <c r="T111" s="6" t="s">
        <v>72</v>
      </c>
      <c r="U111" s="36">
        <v>2</v>
      </c>
      <c r="V111" s="36">
        <v>12</v>
      </c>
      <c r="W111" s="36" t="s">
        <v>1277</v>
      </c>
      <c r="X111" s="36" t="s">
        <v>125</v>
      </c>
      <c r="Y111" s="6" t="s">
        <v>75</v>
      </c>
      <c r="Z111" s="6" t="s">
        <v>75</v>
      </c>
      <c r="AA111" s="6" t="s">
        <v>76</v>
      </c>
      <c r="AB111" s="6" t="s">
        <v>75</v>
      </c>
      <c r="AC111" s="6" t="s">
        <v>75</v>
      </c>
      <c r="AD111" s="6" t="str">
        <f>_xlfn.TEXTJOIN("/",TRUE,IF(OfertaPlazas[[#This Row],[GITST]]="SI","GITST",""),IF(OfertaPlazas[[#This Row],[GIB]]="SI","GIB",""),IF(OfertaPlazas[[#This Row],[GISD]]="SI","GISD",""),IF(OfertaPlazas[[#This Row],[MASTER]]="SI","MASTER",""))</f>
        <v>GITST/GISD/MASTER</v>
      </c>
      <c r="AE111" s="16" t="s">
        <v>75</v>
      </c>
      <c r="AF111" s="16" t="s">
        <v>75</v>
      </c>
      <c r="AG111" s="16" t="s">
        <v>75</v>
      </c>
      <c r="AH111" s="16" t="s">
        <v>75</v>
      </c>
      <c r="AI111" s="16" t="s">
        <v>75</v>
      </c>
      <c r="AJ111" s="16" t="s">
        <v>76</v>
      </c>
      <c r="AK111" s="16" t="s">
        <v>76</v>
      </c>
      <c r="AL111" s="16" t="s">
        <v>75</v>
      </c>
      <c r="AM111" s="16" t="s">
        <v>76</v>
      </c>
      <c r="AN111" s="16" t="s">
        <v>76</v>
      </c>
      <c r="AO111" s="6" t="s">
        <v>75</v>
      </c>
      <c r="AP111" s="6" t="s">
        <v>75</v>
      </c>
      <c r="AQ111" s="6" t="s">
        <v>75</v>
      </c>
      <c r="AR111" s="6" t="s">
        <v>76</v>
      </c>
      <c r="AS111" s="185" t="s">
        <v>1151</v>
      </c>
      <c r="AT111" s="301"/>
      <c r="AU111" s="259" t="s">
        <v>1278</v>
      </c>
      <c r="AV111" s="63" t="s">
        <v>1279</v>
      </c>
      <c r="AW111" s="13"/>
      <c r="AX111" s="13"/>
      <c r="AY111" s="92" t="s">
        <v>738</v>
      </c>
      <c r="AZ111" s="92"/>
      <c r="BA111" s="92"/>
      <c r="BB111" s="92"/>
      <c r="BC111" s="92"/>
      <c r="BD111" s="92"/>
      <c r="BE111" s="319">
        <f>VLOOKUP(B111,'TEAMS_30-09-2021'!$D:$AG,30,FALSE)</f>
        <v>0</v>
      </c>
      <c r="BF111" s="320" t="str">
        <f>VLOOKUP(B111,'ENCUESTAS JUN-2021'!I:I,1,FALSE)</f>
        <v>Lund Institute of Technology</v>
      </c>
      <c r="BG111" s="63" t="str">
        <f>VLOOKUP(B111,'TEAMS_30-09-2021'!D:D,1,FALSE)</f>
        <v>Lund Institute of Technology</v>
      </c>
      <c r="BH111" s="13"/>
      <c r="BL111" s="19" t="e">
        <f t="shared" si="2"/>
        <v>#REF!</v>
      </c>
    </row>
    <row r="112" spans="1:64" s="19" customFormat="1" ht="20.100000000000001" hidden="1" customHeight="1">
      <c r="A112" s="357">
        <v>111</v>
      </c>
      <c r="B112" s="72" t="s">
        <v>1280</v>
      </c>
      <c r="C112" s="252" t="s">
        <v>1281</v>
      </c>
      <c r="D112" s="63" t="s">
        <v>1282</v>
      </c>
      <c r="E112" s="6" t="s">
        <v>1283</v>
      </c>
      <c r="F112" s="6" t="s">
        <v>1221</v>
      </c>
      <c r="G112" s="36" t="s">
        <v>336</v>
      </c>
      <c r="H112" s="209" t="s">
        <v>1284</v>
      </c>
      <c r="I112" s="216" t="s">
        <v>153</v>
      </c>
      <c r="J112" s="216" t="s">
        <v>153</v>
      </c>
      <c r="K112" s="209" t="s">
        <v>245</v>
      </c>
      <c r="L112" s="216" t="s">
        <v>141</v>
      </c>
      <c r="M112" s="216" t="s">
        <v>141</v>
      </c>
      <c r="N112" s="6" t="s">
        <v>69</v>
      </c>
      <c r="O112" s="6"/>
      <c r="P112" s="6" t="s">
        <v>70</v>
      </c>
      <c r="Q112" s="6" t="s">
        <v>70</v>
      </c>
      <c r="R112" s="6"/>
      <c r="S112" s="150" t="s">
        <v>1259</v>
      </c>
      <c r="T112" s="6" t="s">
        <v>72</v>
      </c>
      <c r="U112" s="36">
        <v>2</v>
      </c>
      <c r="V112" s="36">
        <v>12</v>
      </c>
      <c r="W112" s="332" t="s">
        <v>1285</v>
      </c>
      <c r="X112" s="36" t="s">
        <v>125</v>
      </c>
      <c r="Y112" s="6" t="s">
        <v>75</v>
      </c>
      <c r="Z112" s="6" t="s">
        <v>75</v>
      </c>
      <c r="AA112" s="6" t="s">
        <v>76</v>
      </c>
      <c r="AB112" s="6" t="s">
        <v>75</v>
      </c>
      <c r="AC112" s="6" t="s">
        <v>75</v>
      </c>
      <c r="AD112" s="6" t="str">
        <f>_xlfn.TEXTJOIN("/",TRUE,IF(OfertaPlazas[[#This Row],[GITST]]="SI","GITST",""),IF(OfertaPlazas[[#This Row],[GIB]]="SI","GIB",""),IF(OfertaPlazas[[#This Row],[GISD]]="SI","GISD",""),IF(OfertaPlazas[[#This Row],[MASTER]]="SI","MASTER",""))</f>
        <v>GITST/GISD/MASTER</v>
      </c>
      <c r="AE112" s="16" t="s">
        <v>75</v>
      </c>
      <c r="AF112" s="16" t="s">
        <v>75</v>
      </c>
      <c r="AG112" s="16" t="s">
        <v>75</v>
      </c>
      <c r="AH112" s="6" t="s">
        <v>75</v>
      </c>
      <c r="AI112" s="6" t="s">
        <v>75</v>
      </c>
      <c r="AJ112" s="6" t="s">
        <v>75</v>
      </c>
      <c r="AK112" s="6" t="s">
        <v>75</v>
      </c>
      <c r="AL112" s="6" t="s">
        <v>75</v>
      </c>
      <c r="AM112" s="6" t="s">
        <v>75</v>
      </c>
      <c r="AN112" s="6" t="s">
        <v>75</v>
      </c>
      <c r="AO112" s="6" t="s">
        <v>75</v>
      </c>
      <c r="AP112" s="6" t="s">
        <v>75</v>
      </c>
      <c r="AQ112" s="6" t="s">
        <v>75</v>
      </c>
      <c r="AR112" s="6" t="s">
        <v>75</v>
      </c>
      <c r="AS112" s="185" t="s">
        <v>173</v>
      </c>
      <c r="AT112" s="301"/>
      <c r="AU112" s="259" t="s">
        <v>1286</v>
      </c>
      <c r="AV112" s="259" t="s">
        <v>657</v>
      </c>
      <c r="AW112" s="13"/>
      <c r="AX112" s="13"/>
      <c r="AY112" s="92" t="s">
        <v>129</v>
      </c>
      <c r="AZ112" s="92" t="s">
        <v>1287</v>
      </c>
      <c r="BA112" s="92"/>
      <c r="BB112" s="92"/>
      <c r="BC112" s="92" t="s">
        <v>731</v>
      </c>
      <c r="BD112" s="92"/>
      <c r="BE112" s="319">
        <f>VLOOKUP(B112,'TEAMS_30-09-2021'!$D:$AG,30,FALSE)</f>
        <v>0</v>
      </c>
      <c r="BF112" s="319" t="e">
        <f>VLOOKUP(B112,'ENCUESTAS JUN-2021'!I:I,1,FALSE)</f>
        <v>#N/A</v>
      </c>
      <c r="BG112" s="63" t="str">
        <f>VLOOKUP(B112,'TEAMS_30-09-2021'!D:D,1,FALSE)</f>
        <v>KTH - School of Electrical Engineering EES</v>
      </c>
      <c r="BH112" s="13"/>
      <c r="BL112" s="19" t="e">
        <f t="shared" si="2"/>
        <v>#REF!</v>
      </c>
    </row>
    <row r="113" spans="1:64" s="19" customFormat="1" ht="20.100000000000001" hidden="1" customHeight="1">
      <c r="A113" s="357">
        <v>112</v>
      </c>
      <c r="B113" s="13" t="s">
        <v>1288</v>
      </c>
      <c r="C113" s="252" t="s">
        <v>1289</v>
      </c>
      <c r="D113" s="63" t="s">
        <v>1290</v>
      </c>
      <c r="E113" s="6" t="s">
        <v>1291</v>
      </c>
      <c r="F113" s="6" t="s">
        <v>1221</v>
      </c>
      <c r="G113" s="6"/>
      <c r="H113" s="209" t="s">
        <v>1292</v>
      </c>
      <c r="I113" s="216" t="s">
        <v>1293</v>
      </c>
      <c r="J113" s="216" t="s">
        <v>139</v>
      </c>
      <c r="K113" s="209" t="s">
        <v>245</v>
      </c>
      <c r="L113" s="216" t="s">
        <v>141</v>
      </c>
      <c r="M113" s="216"/>
      <c r="N113" s="6" t="s">
        <v>69</v>
      </c>
      <c r="O113" s="6"/>
      <c r="P113" s="6" t="s">
        <v>70</v>
      </c>
      <c r="Q113" s="6" t="s">
        <v>70</v>
      </c>
      <c r="R113" s="6"/>
      <c r="S113" s="150" t="s">
        <v>1259</v>
      </c>
      <c r="T113" s="6" t="s">
        <v>72</v>
      </c>
      <c r="U113" s="36">
        <v>2</v>
      </c>
      <c r="V113" s="36">
        <v>12</v>
      </c>
      <c r="W113" s="36" t="s">
        <v>1294</v>
      </c>
      <c r="X113" s="36" t="s">
        <v>1295</v>
      </c>
      <c r="Y113" s="6" t="s">
        <v>75</v>
      </c>
      <c r="Z113" s="6" t="s">
        <v>75</v>
      </c>
      <c r="AA113" s="6" t="s">
        <v>76</v>
      </c>
      <c r="AB113" s="6" t="s">
        <v>75</v>
      </c>
      <c r="AC113" s="6" t="s">
        <v>75</v>
      </c>
      <c r="AD113" s="6" t="str">
        <f>_xlfn.TEXTJOIN("/",TRUE,IF(OfertaPlazas[[#This Row],[GITST]]="SI","GITST",""),IF(OfertaPlazas[[#This Row],[GIB]]="SI","GIB",""),IF(OfertaPlazas[[#This Row],[GISD]]="SI","GISD",""),IF(OfertaPlazas[[#This Row],[MASTER]]="SI","MASTER",""))</f>
        <v>GITST/GISD/MASTER</v>
      </c>
      <c r="AE113" s="16" t="s">
        <v>75</v>
      </c>
      <c r="AF113" s="16" t="s">
        <v>75</v>
      </c>
      <c r="AG113" s="16" t="s">
        <v>75</v>
      </c>
      <c r="AH113" s="16" t="s">
        <v>75</v>
      </c>
      <c r="AI113" s="16" t="s">
        <v>75</v>
      </c>
      <c r="AJ113" s="16" t="s">
        <v>75</v>
      </c>
      <c r="AK113" s="16" t="s">
        <v>75</v>
      </c>
      <c r="AL113" s="16" t="s">
        <v>75</v>
      </c>
      <c r="AM113" s="16" t="s">
        <v>75</v>
      </c>
      <c r="AN113" s="16" t="s">
        <v>75</v>
      </c>
      <c r="AO113" s="6" t="s">
        <v>75</v>
      </c>
      <c r="AP113" s="6" t="s">
        <v>75</v>
      </c>
      <c r="AQ113" s="6" t="s">
        <v>75</v>
      </c>
      <c r="AR113" s="6" t="s">
        <v>76</v>
      </c>
      <c r="AS113" s="185" t="s">
        <v>173</v>
      </c>
      <c r="AT113" s="301"/>
      <c r="AU113" s="273" t="s">
        <v>1296</v>
      </c>
      <c r="AV113" s="13"/>
      <c r="AW113" s="63" t="s">
        <v>48</v>
      </c>
      <c r="AX113" s="13" t="s">
        <v>48</v>
      </c>
      <c r="AY113" s="92" t="s">
        <v>81</v>
      </c>
      <c r="AZ113" s="92" t="s">
        <v>1297</v>
      </c>
      <c r="BA113" s="92"/>
      <c r="BB113" s="92"/>
      <c r="BC113" s="92" t="s">
        <v>721</v>
      </c>
      <c r="BD113" s="92"/>
      <c r="BE113" s="319">
        <f>VLOOKUP(B113,'TEAMS_30-09-2021'!$D:$AG,30,FALSE)</f>
        <v>0</v>
      </c>
      <c r="BF113" s="319" t="e">
        <f>VLOOKUP(B113,'ENCUESTAS JUN-2021'!I:I,1,FALSE)</f>
        <v>#N/A</v>
      </c>
      <c r="BG113" s="63" t="str">
        <f>VLOOKUP(B113,'TEAMS_30-09-2021'!D:D,1,FALSE)</f>
        <v>Mälardalen University</v>
      </c>
      <c r="BH113" s="13"/>
      <c r="BL113" s="19" t="e">
        <f t="shared" si="2"/>
        <v>#REF!</v>
      </c>
    </row>
    <row r="114" spans="1:64" s="19" customFormat="1" ht="20.100000000000001" hidden="1" customHeight="1">
      <c r="A114" s="357">
        <v>113</v>
      </c>
      <c r="B114" s="13" t="s">
        <v>1298</v>
      </c>
      <c r="C114" s="252" t="s">
        <v>1299</v>
      </c>
      <c r="D114" s="63" t="s">
        <v>1300</v>
      </c>
      <c r="E114" s="6" t="s">
        <v>1301</v>
      </c>
      <c r="F114" s="6" t="s">
        <v>1302</v>
      </c>
      <c r="G114" s="6"/>
      <c r="H114" s="209" t="s">
        <v>1303</v>
      </c>
      <c r="I114" s="216" t="s">
        <v>153</v>
      </c>
      <c r="J114" s="216" t="s">
        <v>169</v>
      </c>
      <c r="K114" s="209" t="s">
        <v>245</v>
      </c>
      <c r="L114" s="216" t="s">
        <v>141</v>
      </c>
      <c r="M114" s="216"/>
      <c r="N114" s="6" t="s">
        <v>69</v>
      </c>
      <c r="O114" s="6"/>
      <c r="P114" s="6" t="s">
        <v>70</v>
      </c>
      <c r="Q114" s="6"/>
      <c r="R114" s="6"/>
      <c r="S114" s="150" t="s">
        <v>194</v>
      </c>
      <c r="T114" s="6" t="s">
        <v>72</v>
      </c>
      <c r="U114" s="36">
        <v>1</v>
      </c>
      <c r="V114" s="36">
        <v>12</v>
      </c>
      <c r="W114" s="36" t="s">
        <v>1304</v>
      </c>
      <c r="X114" s="36" t="s">
        <v>125</v>
      </c>
      <c r="Y114" s="6" t="s">
        <v>75</v>
      </c>
      <c r="Z114" s="6" t="s">
        <v>75</v>
      </c>
      <c r="AA114" s="6" t="s">
        <v>76</v>
      </c>
      <c r="AB114" s="6" t="s">
        <v>76</v>
      </c>
      <c r="AC114" s="16" t="s">
        <v>75</v>
      </c>
      <c r="AD114" s="6" t="str">
        <f>_xlfn.TEXTJOIN("/",TRUE,IF(OfertaPlazas[[#This Row],[GITST]]="SI","GITST",""),IF(OfertaPlazas[[#This Row],[GIB]]="SI","GIB",""),IF(OfertaPlazas[[#This Row],[GISD]]="SI","GISD",""),IF(OfertaPlazas[[#This Row],[MASTER]]="SI","MASTER",""))</f>
        <v>GITST/MASTER</v>
      </c>
      <c r="AE114" s="16" t="s">
        <v>75</v>
      </c>
      <c r="AF114" s="16" t="s">
        <v>75</v>
      </c>
      <c r="AG114" s="16" t="s">
        <v>75</v>
      </c>
      <c r="AH114" s="16" t="s">
        <v>75</v>
      </c>
      <c r="AI114" s="16" t="s">
        <v>75</v>
      </c>
      <c r="AJ114" s="16" t="s">
        <v>75</v>
      </c>
      <c r="AK114" s="16" t="s">
        <v>75</v>
      </c>
      <c r="AL114" s="16" t="s">
        <v>75</v>
      </c>
      <c r="AM114" s="16" t="s">
        <v>75</v>
      </c>
      <c r="AN114" s="6" t="s">
        <v>75</v>
      </c>
      <c r="AO114" s="6" t="s">
        <v>75</v>
      </c>
      <c r="AP114" s="6" t="s">
        <v>75</v>
      </c>
      <c r="AQ114" s="6" t="s">
        <v>76</v>
      </c>
      <c r="AR114" s="6" t="s">
        <v>76</v>
      </c>
      <c r="AS114" s="27" t="s">
        <v>173</v>
      </c>
      <c r="AT114" s="301" t="s">
        <v>1305</v>
      </c>
      <c r="AU114" s="13" t="s">
        <v>1306</v>
      </c>
      <c r="AV114" s="13"/>
      <c r="AW114" s="13"/>
      <c r="AX114" s="13"/>
      <c r="AY114" s="91" t="s">
        <v>1113</v>
      </c>
      <c r="AZ114" s="91" t="s">
        <v>570</v>
      </c>
      <c r="BA114" s="91" t="s">
        <v>1307</v>
      </c>
      <c r="BB114" s="91" t="s">
        <v>1308</v>
      </c>
      <c r="BC114" s="91" t="s">
        <v>84</v>
      </c>
      <c r="BD114" s="91"/>
      <c r="BE114" s="319">
        <f>VLOOKUP(B114,'TEAMS_30-09-2021'!$D:$AG,30,FALSE)</f>
        <v>0</v>
      </c>
      <c r="BF114" s="320" t="str">
        <f>VLOOKUP(B114,'ENCUESTAS JUN-2021'!I:I,1,FALSE)</f>
        <v>Aalto University - School of Electrical Engineering</v>
      </c>
      <c r="BG114" s="63" t="str">
        <f>VLOOKUP(B114,'TEAMS_30-09-2021'!D:D,1,FALSE)</f>
        <v>Aalto University - School of Electrical Engineering</v>
      </c>
      <c r="BH114" s="13"/>
      <c r="BL114" s="19" t="e">
        <f t="shared" si="2"/>
        <v>#REF!</v>
      </c>
    </row>
    <row r="115" spans="1:64" s="19" customFormat="1" ht="20.100000000000001" hidden="1" customHeight="1">
      <c r="A115" s="357">
        <v>114</v>
      </c>
      <c r="B115" s="13" t="s">
        <v>1309</v>
      </c>
      <c r="C115" s="252" t="s">
        <v>1310</v>
      </c>
      <c r="D115" s="63" t="s">
        <v>1311</v>
      </c>
      <c r="E115" s="6" t="s">
        <v>1312</v>
      </c>
      <c r="F115" s="6" t="s">
        <v>1302</v>
      </c>
      <c r="G115" s="6"/>
      <c r="H115" s="209" t="s">
        <v>542</v>
      </c>
      <c r="I115" s="216" t="s">
        <v>104</v>
      </c>
      <c r="J115" s="216" t="s">
        <v>139</v>
      </c>
      <c r="K115" s="209" t="s">
        <v>259</v>
      </c>
      <c r="L115" s="216" t="s">
        <v>141</v>
      </c>
      <c r="M115" s="216" t="s">
        <v>68</v>
      </c>
      <c r="N115" s="6" t="s">
        <v>69</v>
      </c>
      <c r="O115" s="6"/>
      <c r="P115" s="6" t="s">
        <v>70</v>
      </c>
      <c r="Q115" s="6"/>
      <c r="R115" s="6"/>
      <c r="S115" s="150" t="s">
        <v>194</v>
      </c>
      <c r="T115" s="6" t="s">
        <v>72</v>
      </c>
      <c r="U115" s="36">
        <v>2</v>
      </c>
      <c r="V115" s="36">
        <v>12</v>
      </c>
      <c r="W115" s="36" t="s">
        <v>1313</v>
      </c>
      <c r="X115" s="36" t="s">
        <v>1314</v>
      </c>
      <c r="Y115" s="6" t="s">
        <v>75</v>
      </c>
      <c r="Z115" s="6" t="s">
        <v>75</v>
      </c>
      <c r="AA115" s="6" t="s">
        <v>76</v>
      </c>
      <c r="AB115" s="6" t="s">
        <v>76</v>
      </c>
      <c r="AC115" s="6" t="s">
        <v>75</v>
      </c>
      <c r="AD115" s="6" t="str">
        <f>_xlfn.TEXTJOIN("/",TRUE,IF(OfertaPlazas[[#This Row],[GITST]]="SI","GITST",""),IF(OfertaPlazas[[#This Row],[GIB]]="SI","GIB",""),IF(OfertaPlazas[[#This Row],[GISD]]="SI","GISD",""),IF(OfertaPlazas[[#This Row],[MASTER]]="SI","MASTER",""))</f>
        <v>GITST/MASTER</v>
      </c>
      <c r="AE115" s="16" t="s">
        <v>75</v>
      </c>
      <c r="AF115" s="16" t="s">
        <v>75</v>
      </c>
      <c r="AG115" s="16" t="s">
        <v>75</v>
      </c>
      <c r="AH115" s="16" t="s">
        <v>75</v>
      </c>
      <c r="AI115" s="16" t="s">
        <v>75</v>
      </c>
      <c r="AJ115" s="16" t="s">
        <v>75</v>
      </c>
      <c r="AK115" s="16" t="s">
        <v>75</v>
      </c>
      <c r="AL115" s="16" t="s">
        <v>75</v>
      </c>
      <c r="AM115" s="16" t="s">
        <v>75</v>
      </c>
      <c r="AN115" s="16" t="s">
        <v>75</v>
      </c>
      <c r="AO115" s="6" t="s">
        <v>75</v>
      </c>
      <c r="AP115" s="6" t="s">
        <v>75</v>
      </c>
      <c r="AQ115" s="6" t="s">
        <v>75</v>
      </c>
      <c r="AR115" s="6" t="s">
        <v>76</v>
      </c>
      <c r="AS115" s="185" t="s">
        <v>173</v>
      </c>
      <c r="AT115" s="301"/>
      <c r="AU115" s="273" t="s">
        <v>1315</v>
      </c>
      <c r="AV115" s="13"/>
      <c r="AW115" s="13"/>
      <c r="AX115" s="13"/>
      <c r="AY115" s="91" t="s">
        <v>129</v>
      </c>
      <c r="AZ115" s="91" t="s">
        <v>682</v>
      </c>
      <c r="BA115" s="91"/>
      <c r="BB115" s="91" t="s">
        <v>1316</v>
      </c>
      <c r="BC115" s="91" t="s">
        <v>131</v>
      </c>
      <c r="BD115" s="91" t="s">
        <v>1317</v>
      </c>
      <c r="BE115" s="319">
        <f>VLOOKUP(B115,'TEAMS_30-09-2021'!$D:$AG,30,FALSE)</f>
        <v>0</v>
      </c>
      <c r="BF115" s="320" t="str">
        <f>VLOOKUP(B115,'ENCUESTAS JUN-2021'!I:I,1,FALSE)</f>
        <v>South-Eastern Finland University of Applied Sciences XAMK</v>
      </c>
      <c r="BG115" s="63" t="str">
        <f>VLOOKUP(B115,'TEAMS_30-09-2021'!D:D,1,FALSE)</f>
        <v>South-Eastern Finland University of Applied Sciences XAMK</v>
      </c>
      <c r="BH115" s="13"/>
      <c r="BL115" s="19" t="e">
        <f t="shared" si="2"/>
        <v>#REF!</v>
      </c>
    </row>
    <row r="116" spans="1:64" s="19" customFormat="1" ht="20.100000000000001" hidden="1" customHeight="1">
      <c r="A116" s="357">
        <v>115</v>
      </c>
      <c r="B116" s="72" t="s">
        <v>1318</v>
      </c>
      <c r="C116" s="252" t="s">
        <v>1319</v>
      </c>
      <c r="D116" s="63" t="s">
        <v>1320</v>
      </c>
      <c r="E116" s="6" t="s">
        <v>1321</v>
      </c>
      <c r="F116" s="6" t="s">
        <v>1302</v>
      </c>
      <c r="G116" s="6"/>
      <c r="H116" s="209" t="s">
        <v>1322</v>
      </c>
      <c r="I116" s="216" t="s">
        <v>153</v>
      </c>
      <c r="J116" s="216" t="s">
        <v>169</v>
      </c>
      <c r="K116" s="209" t="s">
        <v>442</v>
      </c>
      <c r="L116" s="216" t="s">
        <v>106</v>
      </c>
      <c r="M116" s="216" t="s">
        <v>141</v>
      </c>
      <c r="N116" s="6" t="s">
        <v>69</v>
      </c>
      <c r="O116" s="6"/>
      <c r="P116" s="6" t="s">
        <v>70</v>
      </c>
      <c r="Q116" s="6"/>
      <c r="R116" s="6" t="s">
        <v>70</v>
      </c>
      <c r="S116" s="150" t="s">
        <v>123</v>
      </c>
      <c r="T116" s="6" t="s">
        <v>72</v>
      </c>
      <c r="U116" s="36">
        <v>2</v>
      </c>
      <c r="V116" s="36">
        <v>12</v>
      </c>
      <c r="W116" s="36" t="s">
        <v>1323</v>
      </c>
      <c r="X116" s="36" t="s">
        <v>125</v>
      </c>
      <c r="Y116" s="6" t="s">
        <v>75</v>
      </c>
      <c r="Z116" s="6" t="s">
        <v>75</v>
      </c>
      <c r="AA116" s="6" t="s">
        <v>75</v>
      </c>
      <c r="AB116" s="6" t="s">
        <v>76</v>
      </c>
      <c r="AC116" s="6" t="s">
        <v>75</v>
      </c>
      <c r="AD116" s="6" t="str">
        <f>_xlfn.TEXTJOIN("/",TRUE,IF(OfertaPlazas[[#This Row],[GITST]]="SI","GITST",""),IF(OfertaPlazas[[#This Row],[GIB]]="SI","GIB",""),IF(OfertaPlazas[[#This Row],[GISD]]="SI","GISD",""),IF(OfertaPlazas[[#This Row],[MASTER]]="SI","MASTER",""))</f>
        <v>GITST/GIB/MASTER</v>
      </c>
      <c r="AE116" s="16" t="s">
        <v>75</v>
      </c>
      <c r="AF116" s="16" t="s">
        <v>75</v>
      </c>
      <c r="AG116" s="16" t="s">
        <v>75</v>
      </c>
      <c r="AH116" s="16" t="s">
        <v>75</v>
      </c>
      <c r="AI116" s="16" t="s">
        <v>75</v>
      </c>
      <c r="AJ116" s="16" t="s">
        <v>75</v>
      </c>
      <c r="AK116" s="16" t="s">
        <v>75</v>
      </c>
      <c r="AL116" s="16" t="s">
        <v>75</v>
      </c>
      <c r="AM116" s="16" t="s">
        <v>75</v>
      </c>
      <c r="AN116" s="16" t="s">
        <v>75</v>
      </c>
      <c r="AO116" s="6" t="s">
        <v>75</v>
      </c>
      <c r="AP116" s="6" t="s">
        <v>75</v>
      </c>
      <c r="AQ116" s="6" t="s">
        <v>75</v>
      </c>
      <c r="AR116" s="6" t="s">
        <v>76</v>
      </c>
      <c r="AS116" s="27" t="s">
        <v>173</v>
      </c>
      <c r="AT116" s="301"/>
      <c r="AU116" s="13" t="s">
        <v>1324</v>
      </c>
      <c r="AV116" s="13"/>
      <c r="AW116" s="13"/>
      <c r="AX116" s="13"/>
      <c r="AY116" s="91"/>
      <c r="AZ116" s="91"/>
      <c r="BA116" s="91"/>
      <c r="BB116" s="91"/>
      <c r="BC116" s="91"/>
      <c r="BD116" s="91"/>
      <c r="BE116" s="319">
        <f>VLOOKUP(B116,'TEAMS_30-09-2021'!$D:$AG,30,FALSE)</f>
        <v>0</v>
      </c>
      <c r="BF116" s="320" t="str">
        <f>VLOOKUP(B116,'ENCUESTAS JUN-2021'!I:I,1,FALSE)</f>
        <v xml:space="preserve">University of Oulu </v>
      </c>
      <c r="BG116" s="63" t="str">
        <f>VLOOKUP(B116,'TEAMS_30-09-2021'!D:D,1,FALSE)</f>
        <v xml:space="preserve">University of Oulu </v>
      </c>
      <c r="BH116" s="71"/>
      <c r="BI116" s="7"/>
    </row>
    <row r="117" spans="1:64" s="19" customFormat="1" ht="20.100000000000001" hidden="1" customHeight="1">
      <c r="A117" s="357">
        <v>116</v>
      </c>
      <c r="B117" s="72" t="s">
        <v>1325</v>
      </c>
      <c r="C117" s="252" t="s">
        <v>1325</v>
      </c>
      <c r="D117" s="63" t="s">
        <v>1326</v>
      </c>
      <c r="E117" s="6" t="s">
        <v>1327</v>
      </c>
      <c r="F117" s="6" t="s">
        <v>1302</v>
      </c>
      <c r="G117" s="6"/>
      <c r="H117" s="209" t="s">
        <v>1328</v>
      </c>
      <c r="I117" s="216" t="s">
        <v>153</v>
      </c>
      <c r="J117" s="216" t="s">
        <v>169</v>
      </c>
      <c r="K117" s="209" t="s">
        <v>1276</v>
      </c>
      <c r="L117" s="216" t="s">
        <v>192</v>
      </c>
      <c r="M117" s="216" t="s">
        <v>141</v>
      </c>
      <c r="N117" s="6" t="s">
        <v>69</v>
      </c>
      <c r="O117" s="6"/>
      <c r="P117" s="6" t="s">
        <v>70</v>
      </c>
      <c r="Q117" s="6"/>
      <c r="R117" s="6" t="s">
        <v>70</v>
      </c>
      <c r="S117" s="150" t="s">
        <v>1329</v>
      </c>
      <c r="T117" s="6" t="s">
        <v>72</v>
      </c>
      <c r="U117" s="36">
        <v>2</v>
      </c>
      <c r="V117" s="36">
        <v>12</v>
      </c>
      <c r="W117" s="36" t="s">
        <v>1330</v>
      </c>
      <c r="X117" s="36" t="s">
        <v>125</v>
      </c>
      <c r="Y117" s="6" t="s">
        <v>75</v>
      </c>
      <c r="Z117" s="6" t="s">
        <v>75</v>
      </c>
      <c r="AA117" s="6" t="s">
        <v>75</v>
      </c>
      <c r="AB117" s="6" t="s">
        <v>76</v>
      </c>
      <c r="AC117" s="6" t="s">
        <v>75</v>
      </c>
      <c r="AD117" s="6" t="str">
        <f>_xlfn.TEXTJOIN("/",TRUE,IF(OfertaPlazas[[#This Row],[GITST]]="SI","GITST",""),IF(OfertaPlazas[[#This Row],[GIB]]="SI","GIB",""),IF(OfertaPlazas[[#This Row],[GISD]]="SI","GISD",""),IF(OfertaPlazas[[#This Row],[MASTER]]="SI","MASTER",""))</f>
        <v>GITST/GIB/MASTER</v>
      </c>
      <c r="AE117" s="16" t="s">
        <v>75</v>
      </c>
      <c r="AF117" s="16" t="s">
        <v>75</v>
      </c>
      <c r="AG117" s="16" t="s">
        <v>75</v>
      </c>
      <c r="AH117" s="16" t="s">
        <v>75</v>
      </c>
      <c r="AI117" s="16" t="s">
        <v>75</v>
      </c>
      <c r="AJ117" s="16" t="s">
        <v>75</v>
      </c>
      <c r="AK117" s="16" t="s">
        <v>75</v>
      </c>
      <c r="AL117" s="16" t="s">
        <v>75</v>
      </c>
      <c r="AM117" s="16" t="s">
        <v>75</v>
      </c>
      <c r="AN117" s="16" t="s">
        <v>75</v>
      </c>
      <c r="AO117" s="6" t="s">
        <v>75</v>
      </c>
      <c r="AP117" s="6" t="s">
        <v>75</v>
      </c>
      <c r="AQ117" s="6" t="s">
        <v>75</v>
      </c>
      <c r="AR117" s="6" t="s">
        <v>76</v>
      </c>
      <c r="AS117" s="301" t="s">
        <v>1151</v>
      </c>
      <c r="AT117" s="301" t="s">
        <v>1331</v>
      </c>
      <c r="AU117" s="13" t="s">
        <v>1332</v>
      </c>
      <c r="AV117" s="13"/>
      <c r="AW117" s="13"/>
      <c r="AX117" s="13"/>
      <c r="AY117" s="91"/>
      <c r="AZ117" s="91"/>
      <c r="BA117" s="91"/>
      <c r="BB117" s="91"/>
      <c r="BC117" s="91"/>
      <c r="BD117" s="91"/>
      <c r="BE117" s="319" t="e">
        <f>VLOOKUP(B117,'TEAMS_30-09-2021'!$D:$AG,30,FALSE)</f>
        <v>#N/A</v>
      </c>
      <c r="BF117" s="320" t="e">
        <f>VLOOKUP(B117,'ENCUESTAS JUN-2021'!I:I,1,FALSE)</f>
        <v>#N/A</v>
      </c>
      <c r="BG117" s="63" t="e">
        <f>VLOOKUP(B117,'TEAMS_30-09-2021'!D:D,1,FALSE)</f>
        <v>#N/A</v>
      </c>
      <c r="BH117" s="13"/>
      <c r="BL117" s="19" t="e">
        <f t="shared" ref="BL117:BL130" si="3">VLOOKUP(E117,#REF!,1,FALSE)</f>
        <v>#REF!</v>
      </c>
    </row>
    <row r="118" spans="1:64" s="19" customFormat="1" ht="22.15" hidden="1" customHeight="1">
      <c r="A118" s="357">
        <v>117</v>
      </c>
      <c r="B118" s="72" t="s">
        <v>1333</v>
      </c>
      <c r="C118" s="252" t="s">
        <v>1334</v>
      </c>
      <c r="D118" s="63" t="s">
        <v>1335</v>
      </c>
      <c r="E118" s="6" t="s">
        <v>1336</v>
      </c>
      <c r="F118" s="6" t="s">
        <v>75</v>
      </c>
      <c r="G118" s="6"/>
      <c r="H118" s="209" t="s">
        <v>505</v>
      </c>
      <c r="I118" s="216" t="s">
        <v>139</v>
      </c>
      <c r="J118" s="216" t="s">
        <v>139</v>
      </c>
      <c r="K118" s="209" t="s">
        <v>219</v>
      </c>
      <c r="L118" s="216" t="s">
        <v>92</v>
      </c>
      <c r="M118" s="216"/>
      <c r="N118" s="6" t="s">
        <v>69</v>
      </c>
      <c r="O118" s="6"/>
      <c r="P118" s="6" t="s">
        <v>70</v>
      </c>
      <c r="Q118" s="6"/>
      <c r="R118" s="6" t="s">
        <v>70</v>
      </c>
      <c r="S118" s="150" t="s">
        <v>123</v>
      </c>
      <c r="T118" s="6" t="s">
        <v>72</v>
      </c>
      <c r="U118" s="36">
        <v>2</v>
      </c>
      <c r="V118" s="36">
        <v>12</v>
      </c>
      <c r="W118" s="36" t="s">
        <v>1337</v>
      </c>
      <c r="X118" s="36" t="s">
        <v>125</v>
      </c>
      <c r="Y118" s="6" t="s">
        <v>75</v>
      </c>
      <c r="Z118" s="6" t="s">
        <v>75</v>
      </c>
      <c r="AA118" s="6" t="s">
        <v>75</v>
      </c>
      <c r="AB118" s="6" t="s">
        <v>76</v>
      </c>
      <c r="AC118" s="6" t="s">
        <v>75</v>
      </c>
      <c r="AD118" s="6" t="str">
        <f>_xlfn.TEXTJOIN("/",TRUE,IF(OfertaPlazas[[#This Row],[GITST]]="SI","GITST",""),IF(OfertaPlazas[[#This Row],[GIB]]="SI","GIB",""),IF(OfertaPlazas[[#This Row],[GISD]]="SI","GISD",""),IF(OfertaPlazas[[#This Row],[MASTER]]="SI","MASTER",""))</f>
        <v>GITST/GIB/MASTER</v>
      </c>
      <c r="AE118" s="16" t="s">
        <v>75</v>
      </c>
      <c r="AF118" s="16" t="s">
        <v>75</v>
      </c>
      <c r="AG118" s="16" t="s">
        <v>75</v>
      </c>
      <c r="AH118" s="16" t="s">
        <v>75</v>
      </c>
      <c r="AI118" s="16" t="s">
        <v>75</v>
      </c>
      <c r="AJ118" s="16" t="s">
        <v>75</v>
      </c>
      <c r="AK118" s="16" t="s">
        <v>75</v>
      </c>
      <c r="AL118" s="16" t="s">
        <v>75</v>
      </c>
      <c r="AM118" s="16" t="s">
        <v>75</v>
      </c>
      <c r="AN118" s="16" t="s">
        <v>75</v>
      </c>
      <c r="AO118" s="6" t="s">
        <v>75</v>
      </c>
      <c r="AP118" s="6" t="s">
        <v>75</v>
      </c>
      <c r="AQ118" s="6" t="s">
        <v>75</v>
      </c>
      <c r="AR118" s="6" t="s">
        <v>76</v>
      </c>
      <c r="AS118" s="301" t="s">
        <v>173</v>
      </c>
      <c r="AT118" s="301" t="s">
        <v>1338</v>
      </c>
      <c r="AU118" s="259" t="s">
        <v>1339</v>
      </c>
      <c r="AV118" s="13" t="s">
        <v>1197</v>
      </c>
      <c r="AW118" s="13" t="s">
        <v>1340</v>
      </c>
      <c r="AX118" s="13"/>
      <c r="AY118" s="90"/>
      <c r="AZ118" s="90"/>
      <c r="BA118" s="90"/>
      <c r="BB118" s="90"/>
      <c r="BC118" s="90"/>
      <c r="BD118" s="90"/>
      <c r="BE118" s="319">
        <f>VLOOKUP(B118,'TEAMS_30-09-2021'!$D:$AG,30,FALSE)</f>
        <v>0</v>
      </c>
      <c r="BF118" s="319" t="e">
        <f>VLOOKUP(B118,'ENCUESTAS JUN-2021'!I:I,1,FALSE)</f>
        <v>#N/A</v>
      </c>
      <c r="BG118" s="63" t="str">
        <f>VLOOKUP(B118,'TEAMS_30-09-2021'!D:D,1,FALSE)</f>
        <v>University of Ljubljana</v>
      </c>
      <c r="BH118" s="13"/>
      <c r="BL118" s="19" t="e">
        <f t="shared" si="3"/>
        <v>#REF!</v>
      </c>
    </row>
    <row r="119" spans="1:64" s="19" customFormat="1" ht="20.100000000000001" hidden="1" customHeight="1">
      <c r="A119" s="357">
        <v>118</v>
      </c>
      <c r="B119" s="71" t="s">
        <v>1341</v>
      </c>
      <c r="C119" s="252" t="s">
        <v>1342</v>
      </c>
      <c r="D119" s="63" t="s">
        <v>1343</v>
      </c>
      <c r="E119" s="6" t="s">
        <v>1344</v>
      </c>
      <c r="F119" s="6" t="s">
        <v>1345</v>
      </c>
      <c r="G119" s="6"/>
      <c r="H119" s="209" t="s">
        <v>1346</v>
      </c>
      <c r="I119" s="216" t="s">
        <v>104</v>
      </c>
      <c r="J119" s="216" t="s">
        <v>118</v>
      </c>
      <c r="K119" s="209" t="s">
        <v>1347</v>
      </c>
      <c r="L119" s="216" t="s">
        <v>1348</v>
      </c>
      <c r="M119" s="216" t="s">
        <v>300</v>
      </c>
      <c r="N119" s="6" t="s">
        <v>69</v>
      </c>
      <c r="O119" s="6" t="s">
        <v>72</v>
      </c>
      <c r="P119" s="6" t="s">
        <v>72</v>
      </c>
      <c r="Q119" s="6"/>
      <c r="R119" s="6"/>
      <c r="S119" s="150" t="s">
        <v>1349</v>
      </c>
      <c r="T119" s="6" t="s">
        <v>72</v>
      </c>
      <c r="U119" s="36">
        <v>2</v>
      </c>
      <c r="V119" s="36">
        <v>12</v>
      </c>
      <c r="W119" s="332" t="s">
        <v>1350</v>
      </c>
      <c r="X119" s="36" t="s">
        <v>1351</v>
      </c>
      <c r="Y119" s="6" t="s">
        <v>75</v>
      </c>
      <c r="Z119" s="6" t="s">
        <v>75</v>
      </c>
      <c r="AA119" s="6" t="s">
        <v>76</v>
      </c>
      <c r="AB119" s="6" t="s">
        <v>76</v>
      </c>
      <c r="AC119" s="6" t="s">
        <v>75</v>
      </c>
      <c r="AD119" s="6" t="str">
        <f>_xlfn.TEXTJOIN("/",TRUE,IF(OfertaPlazas[[#This Row],[GITST]]="SI","GITST",""),IF(OfertaPlazas[[#This Row],[GIB]]="SI","GIB",""),IF(OfertaPlazas[[#This Row],[GISD]]="SI","GISD",""),IF(OfertaPlazas[[#This Row],[MASTER]]="SI","MASTER",""))</f>
        <v>GITST/MASTER</v>
      </c>
      <c r="AE119" s="6" t="s">
        <v>75</v>
      </c>
      <c r="AF119" s="6" t="s">
        <v>75</v>
      </c>
      <c r="AG119" s="6" t="s">
        <v>75</v>
      </c>
      <c r="AH119" s="6" t="s">
        <v>75</v>
      </c>
      <c r="AI119" s="6" t="s">
        <v>75</v>
      </c>
      <c r="AJ119" s="6" t="s">
        <v>75</v>
      </c>
      <c r="AK119" s="6" t="s">
        <v>75</v>
      </c>
      <c r="AL119" s="6" t="s">
        <v>75</v>
      </c>
      <c r="AM119" s="6" t="s">
        <v>75</v>
      </c>
      <c r="AN119" s="6" t="s">
        <v>75</v>
      </c>
      <c r="AO119" s="6" t="s">
        <v>75</v>
      </c>
      <c r="AP119" s="6" t="s">
        <v>75</v>
      </c>
      <c r="AQ119" s="6" t="s">
        <v>75</v>
      </c>
      <c r="AR119" s="6" t="s">
        <v>76</v>
      </c>
      <c r="AS119" s="27" t="s">
        <v>211</v>
      </c>
      <c r="AT119" s="301"/>
      <c r="AU119" s="273" t="s">
        <v>1269</v>
      </c>
      <c r="AV119" s="13"/>
      <c r="AW119" s="13"/>
      <c r="AX119" s="13"/>
      <c r="AY119" s="90"/>
      <c r="AZ119" s="90"/>
      <c r="BA119" s="90"/>
      <c r="BB119" s="90"/>
      <c r="BC119" s="90"/>
      <c r="BD119" s="90"/>
      <c r="BE119" s="319"/>
      <c r="BF119" s="320"/>
      <c r="BG119" s="63"/>
      <c r="BH119" s="13"/>
      <c r="BL119" s="19" t="e">
        <f t="shared" si="3"/>
        <v>#REF!</v>
      </c>
    </row>
    <row r="120" spans="1:64" s="19" customFormat="1" ht="20.100000000000001" hidden="1" customHeight="1">
      <c r="A120" s="357">
        <v>119</v>
      </c>
      <c r="B120" s="13" t="s">
        <v>1352</v>
      </c>
      <c r="C120" s="252" t="s">
        <v>1353</v>
      </c>
      <c r="D120" s="63" t="s">
        <v>1343</v>
      </c>
      <c r="E120" s="6" t="s">
        <v>1354</v>
      </c>
      <c r="F120" s="6" t="s">
        <v>1345</v>
      </c>
      <c r="G120" s="6"/>
      <c r="H120" s="209" t="s">
        <v>1355</v>
      </c>
      <c r="I120" s="216" t="s">
        <v>139</v>
      </c>
      <c r="J120" s="216" t="s">
        <v>89</v>
      </c>
      <c r="K120" s="209" t="s">
        <v>1356</v>
      </c>
      <c r="L120" s="216" t="s">
        <v>92</v>
      </c>
      <c r="M120" s="216" t="s">
        <v>300</v>
      </c>
      <c r="N120" s="6" t="s">
        <v>69</v>
      </c>
      <c r="O120" s="6"/>
      <c r="P120" s="6" t="s">
        <v>70</v>
      </c>
      <c r="Q120" s="6"/>
      <c r="R120" s="6" t="s">
        <v>70</v>
      </c>
      <c r="S120" s="150" t="s">
        <v>123</v>
      </c>
      <c r="T120" s="6" t="s">
        <v>72</v>
      </c>
      <c r="U120" s="36">
        <v>2</v>
      </c>
      <c r="V120" s="36">
        <v>12</v>
      </c>
      <c r="W120" s="36" t="s">
        <v>1357</v>
      </c>
      <c r="X120" s="36" t="s">
        <v>125</v>
      </c>
      <c r="Y120" s="6" t="s">
        <v>75</v>
      </c>
      <c r="Z120" s="6" t="s">
        <v>75</v>
      </c>
      <c r="AA120" s="6" t="s">
        <v>75</v>
      </c>
      <c r="AB120" s="6" t="s">
        <v>76</v>
      </c>
      <c r="AC120" s="6" t="s">
        <v>76</v>
      </c>
      <c r="AD120" s="6" t="str">
        <f>_xlfn.TEXTJOIN("/",TRUE,IF(OfertaPlazas[[#This Row],[GITST]]="SI","GITST",""),IF(OfertaPlazas[[#This Row],[GIB]]="SI","GIB",""),IF(OfertaPlazas[[#This Row],[GISD]]="SI","GISD",""),IF(OfertaPlazas[[#This Row],[MASTER]]="SI","MASTER",""))</f>
        <v>GITST/GIB</v>
      </c>
      <c r="AE120" s="16" t="s">
        <v>75</v>
      </c>
      <c r="AF120" s="16" t="s">
        <v>75</v>
      </c>
      <c r="AG120" s="16" t="s">
        <v>75</v>
      </c>
      <c r="AH120" s="6" t="s">
        <v>75</v>
      </c>
      <c r="AI120" s="6" t="s">
        <v>75</v>
      </c>
      <c r="AJ120" s="6" t="s">
        <v>75</v>
      </c>
      <c r="AK120" s="6" t="s">
        <v>75</v>
      </c>
      <c r="AL120" s="6" t="s">
        <v>75</v>
      </c>
      <c r="AM120" s="6" t="s">
        <v>75</v>
      </c>
      <c r="AN120" s="6" t="s">
        <v>75</v>
      </c>
      <c r="AO120" s="6" t="s">
        <v>76</v>
      </c>
      <c r="AP120" s="6" t="s">
        <v>76</v>
      </c>
      <c r="AQ120" s="6" t="s">
        <v>76</v>
      </c>
      <c r="AR120" s="6" t="s">
        <v>76</v>
      </c>
      <c r="AS120" s="185" t="s">
        <v>173</v>
      </c>
      <c r="AT120" s="301"/>
      <c r="AU120" s="339"/>
      <c r="AV120" s="13"/>
      <c r="AW120" s="13"/>
      <c r="AX120" s="13"/>
      <c r="AY120" s="90"/>
      <c r="AZ120" s="90"/>
      <c r="BA120" s="90"/>
      <c r="BB120" s="90"/>
      <c r="BC120" s="90"/>
      <c r="BD120" s="90"/>
      <c r="BE120" s="319">
        <f>VLOOKUP(B120,'TEAMS_30-09-2021'!$D:$AG,30,FALSE)</f>
        <v>0</v>
      </c>
      <c r="BF120" s="320" t="str">
        <f>VLOOKUP(B120,'ENCUESTAS JUN-2021'!I:I,1,FALSE)</f>
        <v>Marmara Üniversitesi</v>
      </c>
      <c r="BG120" s="63" t="str">
        <f>VLOOKUP(B120,'TEAMS_30-09-2021'!D:D,1,FALSE)</f>
        <v>Marmara Üniversitesi</v>
      </c>
      <c r="BH120" s="13"/>
      <c r="BL120" s="19" t="e">
        <f t="shared" si="3"/>
        <v>#REF!</v>
      </c>
    </row>
    <row r="121" spans="1:64" s="19" customFormat="1" ht="19.5" hidden="1" customHeight="1">
      <c r="A121" s="357">
        <v>120</v>
      </c>
      <c r="B121" s="13" t="s">
        <v>1358</v>
      </c>
      <c r="C121" s="252" t="s">
        <v>1359</v>
      </c>
      <c r="D121" s="63" t="s">
        <v>1343</v>
      </c>
      <c r="E121" s="6" t="s">
        <v>1360</v>
      </c>
      <c r="F121" s="6" t="s">
        <v>1345</v>
      </c>
      <c r="G121" s="6"/>
      <c r="H121" s="209" t="s">
        <v>1361</v>
      </c>
      <c r="I121" s="216" t="s">
        <v>1362</v>
      </c>
      <c r="J121" s="216" t="s">
        <v>1362</v>
      </c>
      <c r="K121" s="209"/>
      <c r="L121" s="216" t="s">
        <v>1362</v>
      </c>
      <c r="M121" s="216"/>
      <c r="N121" s="6" t="s">
        <v>69</v>
      </c>
      <c r="O121" s="6"/>
      <c r="P121" s="6"/>
      <c r="Q121" s="6"/>
      <c r="R121" s="6" t="s">
        <v>70</v>
      </c>
      <c r="S121" s="150" t="s">
        <v>1363</v>
      </c>
      <c r="T121" s="6" t="s">
        <v>72</v>
      </c>
      <c r="U121" s="36">
        <v>2</v>
      </c>
      <c r="V121" s="36">
        <v>12</v>
      </c>
      <c r="W121" s="36" t="s">
        <v>1364</v>
      </c>
      <c r="X121" s="36" t="s">
        <v>125</v>
      </c>
      <c r="Y121" s="6" t="s">
        <v>75</v>
      </c>
      <c r="Z121" s="6" t="s">
        <v>76</v>
      </c>
      <c r="AA121" s="6" t="s">
        <v>75</v>
      </c>
      <c r="AB121" s="6" t="s">
        <v>76</v>
      </c>
      <c r="AC121" s="6" t="s">
        <v>76</v>
      </c>
      <c r="AD121" s="6" t="str">
        <f>_xlfn.TEXTJOIN("/",TRUE,IF(OfertaPlazas[[#This Row],[GITST]]="SI","GITST",""),IF(OfertaPlazas[[#This Row],[GIB]]="SI","GIB",""),IF(OfertaPlazas[[#This Row],[GISD]]="SI","GISD",""),IF(OfertaPlazas[[#This Row],[MASTER]]="SI","MASTER",""))</f>
        <v>GIB</v>
      </c>
      <c r="AE121" s="16" t="s">
        <v>75</v>
      </c>
      <c r="AF121" s="16" t="s">
        <v>75</v>
      </c>
      <c r="AG121" s="16" t="s">
        <v>75</v>
      </c>
      <c r="AH121" s="16" t="s">
        <v>75</v>
      </c>
      <c r="AI121" s="16" t="s">
        <v>75</v>
      </c>
      <c r="AJ121" s="16" t="s">
        <v>75</v>
      </c>
      <c r="AK121" s="16" t="s">
        <v>75</v>
      </c>
      <c r="AL121" s="16" t="s">
        <v>75</v>
      </c>
      <c r="AM121" s="16" t="s">
        <v>75</v>
      </c>
      <c r="AN121" s="16" t="s">
        <v>75</v>
      </c>
      <c r="AO121" s="6" t="s">
        <v>76</v>
      </c>
      <c r="AP121" s="6" t="s">
        <v>76</v>
      </c>
      <c r="AQ121" s="6" t="s">
        <v>76</v>
      </c>
      <c r="AR121" s="6" t="s">
        <v>76</v>
      </c>
      <c r="AS121" s="185" t="s">
        <v>173</v>
      </c>
      <c r="AT121" s="301"/>
      <c r="AU121" s="273" t="s">
        <v>1365</v>
      </c>
      <c r="AV121" s="340"/>
      <c r="AW121" s="340"/>
      <c r="AX121" s="13"/>
      <c r="AY121" s="90"/>
      <c r="AZ121" s="90"/>
      <c r="BA121" s="90"/>
      <c r="BB121" s="90"/>
      <c r="BC121" s="90"/>
      <c r="BD121" s="90"/>
      <c r="BE121" s="319">
        <f>VLOOKUP(B121,'TEAMS_30-09-2021'!$D:$AG,30,FALSE)</f>
        <v>0</v>
      </c>
      <c r="BF121" s="320" t="str">
        <f>VLOOKUP(B121,'ENCUESTAS JUN-2021'!I:I,1,FALSE)</f>
        <v>Yildiz Technical University</v>
      </c>
      <c r="BG121" s="63" t="str">
        <f>VLOOKUP(B121,'TEAMS_30-09-2021'!D:D,1,FALSE)</f>
        <v>Yildiz Technical University</v>
      </c>
      <c r="BH121" s="13"/>
      <c r="BL121" s="19" t="e">
        <f t="shared" si="3"/>
        <v>#REF!</v>
      </c>
    </row>
    <row r="122" spans="1:64" s="19" customFormat="1" ht="20.100000000000001" hidden="1" customHeight="1">
      <c r="A122" s="357">
        <v>121</v>
      </c>
      <c r="B122" s="13" t="s">
        <v>1366</v>
      </c>
      <c r="C122" s="252" t="s">
        <v>1367</v>
      </c>
      <c r="D122" s="63" t="s">
        <v>1343</v>
      </c>
      <c r="E122" s="6" t="s">
        <v>1368</v>
      </c>
      <c r="F122" s="6" t="s">
        <v>1345</v>
      </c>
      <c r="G122" s="6"/>
      <c r="H122" s="266" t="s">
        <v>1369</v>
      </c>
      <c r="I122" s="216" t="s">
        <v>90</v>
      </c>
      <c r="J122" s="216" t="s">
        <v>1370</v>
      </c>
      <c r="K122" s="209" t="s">
        <v>1371</v>
      </c>
      <c r="L122" s="216" t="s">
        <v>142</v>
      </c>
      <c r="M122" s="216" t="s">
        <v>300</v>
      </c>
      <c r="N122" s="6" t="s">
        <v>69</v>
      </c>
      <c r="O122" s="6"/>
      <c r="P122" s="6" t="s">
        <v>70</v>
      </c>
      <c r="Q122" s="6" t="s">
        <v>70</v>
      </c>
      <c r="R122" s="6"/>
      <c r="S122" s="150" t="s">
        <v>1372</v>
      </c>
      <c r="T122" s="6" t="s">
        <v>72</v>
      </c>
      <c r="U122" s="36">
        <v>2</v>
      </c>
      <c r="V122" s="36">
        <v>12</v>
      </c>
      <c r="W122" s="36" t="s">
        <v>1373</v>
      </c>
      <c r="X122" s="36" t="s">
        <v>1374</v>
      </c>
      <c r="Y122" s="6" t="s">
        <v>75</v>
      </c>
      <c r="Z122" s="6" t="s">
        <v>75</v>
      </c>
      <c r="AA122" s="6" t="s">
        <v>76</v>
      </c>
      <c r="AB122" s="6" t="s">
        <v>75</v>
      </c>
      <c r="AC122" s="6" t="s">
        <v>75</v>
      </c>
      <c r="AD122" s="6" t="str">
        <f>_xlfn.TEXTJOIN("/",TRUE,IF(OfertaPlazas[[#This Row],[GITST]]="SI","GITST",""),IF(OfertaPlazas[[#This Row],[GIB]]="SI","GIB",""),IF(OfertaPlazas[[#This Row],[GISD]]="SI","GISD",""),IF(OfertaPlazas[[#This Row],[MASTER]]="SI","MASTER",""))</f>
        <v>GITST/GISD/MASTER</v>
      </c>
      <c r="AE122" s="16" t="s">
        <v>75</v>
      </c>
      <c r="AF122" s="16" t="s">
        <v>75</v>
      </c>
      <c r="AG122" s="16" t="s">
        <v>75</v>
      </c>
      <c r="AH122" s="16" t="s">
        <v>75</v>
      </c>
      <c r="AI122" s="16" t="s">
        <v>75</v>
      </c>
      <c r="AJ122" s="16" t="s">
        <v>75</v>
      </c>
      <c r="AK122" s="16" t="s">
        <v>75</v>
      </c>
      <c r="AL122" s="16" t="s">
        <v>75</v>
      </c>
      <c r="AM122" s="16" t="s">
        <v>75</v>
      </c>
      <c r="AN122" s="16" t="s">
        <v>75</v>
      </c>
      <c r="AO122" s="6" t="s">
        <v>75</v>
      </c>
      <c r="AP122" s="6" t="s">
        <v>75</v>
      </c>
      <c r="AQ122" s="6" t="s">
        <v>75</v>
      </c>
      <c r="AR122" s="6" t="s">
        <v>76</v>
      </c>
      <c r="AS122" s="185" t="s">
        <v>173</v>
      </c>
      <c r="AT122" s="301" t="s">
        <v>1375</v>
      </c>
      <c r="AU122" s="273" t="s">
        <v>1376</v>
      </c>
      <c r="AV122" s="13" t="s">
        <v>1377</v>
      </c>
      <c r="AW122" s="13"/>
      <c r="AX122" s="13"/>
      <c r="AY122" s="90"/>
      <c r="AZ122" s="90"/>
      <c r="BA122" s="90"/>
      <c r="BB122" s="90"/>
      <c r="BC122" s="90"/>
      <c r="BD122" s="90"/>
      <c r="BE122" s="319">
        <f>VLOOKUP(B122,'TEAMS_30-09-2021'!$D:$AG,30,FALSE)</f>
        <v>0</v>
      </c>
      <c r="BF122" s="319" t="e">
        <f>VLOOKUP(B122,'ENCUESTAS JUN-2021'!I:I,1,FALSE)</f>
        <v>#N/A</v>
      </c>
      <c r="BG122" s="63" t="str">
        <f>VLOOKUP(B122,'TEAMS_30-09-2021'!D:D,1,FALSE)</f>
        <v>Özyegin Üniversitesi</v>
      </c>
      <c r="BH122" s="13"/>
      <c r="BL122" s="19" t="e">
        <f t="shared" si="3"/>
        <v>#REF!</v>
      </c>
    </row>
    <row r="123" spans="1:64" s="19" customFormat="1" ht="20.100000000000001" hidden="1" customHeight="1">
      <c r="A123" s="357">
        <v>122</v>
      </c>
      <c r="B123" s="13" t="s">
        <v>1378</v>
      </c>
      <c r="C123" s="252" t="s">
        <v>1379</v>
      </c>
      <c r="D123" s="63" t="s">
        <v>1380</v>
      </c>
      <c r="E123" s="6" t="s">
        <v>1381</v>
      </c>
      <c r="F123" s="6" t="s">
        <v>1345</v>
      </c>
      <c r="G123" s="6"/>
      <c r="H123" s="209" t="s">
        <v>1361</v>
      </c>
      <c r="I123" s="216" t="s">
        <v>1362</v>
      </c>
      <c r="J123" s="216" t="s">
        <v>1362</v>
      </c>
      <c r="K123" s="209" t="s">
        <v>818</v>
      </c>
      <c r="L123" s="216" t="s">
        <v>121</v>
      </c>
      <c r="M123" s="216"/>
      <c r="N123" s="6" t="s">
        <v>69</v>
      </c>
      <c r="O123" s="6"/>
      <c r="P123" s="6" t="s">
        <v>70</v>
      </c>
      <c r="Q123" s="6"/>
      <c r="R123" s="6" t="s">
        <v>70</v>
      </c>
      <c r="S123" s="150" t="s">
        <v>123</v>
      </c>
      <c r="T123" s="6" t="s">
        <v>72</v>
      </c>
      <c r="U123" s="36">
        <v>1</v>
      </c>
      <c r="V123" s="36">
        <v>12</v>
      </c>
      <c r="W123" s="36" t="s">
        <v>1382</v>
      </c>
      <c r="X123" s="36" t="s">
        <v>125</v>
      </c>
      <c r="Y123" s="6" t="s">
        <v>75</v>
      </c>
      <c r="Z123" s="6" t="s">
        <v>75</v>
      </c>
      <c r="AA123" s="6" t="s">
        <v>75</v>
      </c>
      <c r="AB123" s="6" t="s">
        <v>76</v>
      </c>
      <c r="AC123" s="6" t="s">
        <v>75</v>
      </c>
      <c r="AD123" s="6" t="str">
        <f>_xlfn.TEXTJOIN("/",TRUE,IF(OfertaPlazas[[#This Row],[GITST]]="SI","GITST",""),IF(OfertaPlazas[[#This Row],[GIB]]="SI","GIB",""),IF(OfertaPlazas[[#This Row],[GISD]]="SI","GISD",""),IF(OfertaPlazas[[#This Row],[MASTER]]="SI","MASTER",""))</f>
        <v>GITST/GIB/MASTER</v>
      </c>
      <c r="AE123" s="16" t="s">
        <v>76</v>
      </c>
      <c r="AF123" s="6" t="s">
        <v>76</v>
      </c>
      <c r="AG123" s="6" t="s">
        <v>76</v>
      </c>
      <c r="AH123" s="16" t="s">
        <v>76</v>
      </c>
      <c r="AI123" s="16" t="s">
        <v>76</v>
      </c>
      <c r="AJ123" s="16" t="s">
        <v>76</v>
      </c>
      <c r="AK123" s="16" t="s">
        <v>76</v>
      </c>
      <c r="AL123" s="16" t="s">
        <v>76</v>
      </c>
      <c r="AM123" s="16" t="s">
        <v>76</v>
      </c>
      <c r="AN123" s="16" t="s">
        <v>75</v>
      </c>
      <c r="AO123" s="6" t="s">
        <v>75</v>
      </c>
      <c r="AP123" s="6" t="s">
        <v>76</v>
      </c>
      <c r="AQ123" s="6" t="s">
        <v>75</v>
      </c>
      <c r="AR123" s="6" t="s">
        <v>76</v>
      </c>
      <c r="AS123" s="27" t="s">
        <v>173</v>
      </c>
      <c r="AT123" s="301"/>
      <c r="AU123" s="352"/>
      <c r="AV123" s="13"/>
      <c r="AW123" s="13"/>
      <c r="AX123" s="13"/>
      <c r="AY123" s="90"/>
      <c r="AZ123" s="90"/>
      <c r="BA123" s="90"/>
      <c r="BB123" s="90"/>
      <c r="BC123" s="90"/>
      <c r="BD123" s="90"/>
      <c r="BE123" s="319">
        <f>VLOOKUP(B123,'TEAMS_30-09-2021'!$D:$AG,30,FALSE)</f>
        <v>0</v>
      </c>
      <c r="BF123" s="320" t="str">
        <f>VLOOKUP(B123,'ENCUESTAS JUN-2021'!I:I,1,FALSE)</f>
        <v>Namik Kemal University</v>
      </c>
      <c r="BG123" s="63" t="str">
        <f>VLOOKUP(B123,'TEAMS_30-09-2021'!D:D,1,FALSE)</f>
        <v>Namik Kemal University</v>
      </c>
      <c r="BH123" s="13"/>
      <c r="BL123" s="19" t="e">
        <f t="shared" si="3"/>
        <v>#REF!</v>
      </c>
    </row>
    <row r="124" spans="1:64" s="53" customFormat="1" ht="18.75" hidden="1" customHeight="1">
      <c r="A124" s="357">
        <v>123</v>
      </c>
      <c r="B124" s="13" t="s">
        <v>1383</v>
      </c>
      <c r="C124" s="252" t="s">
        <v>1384</v>
      </c>
      <c r="D124" s="63" t="s">
        <v>1385</v>
      </c>
      <c r="E124" s="6" t="s">
        <v>1386</v>
      </c>
      <c r="F124" s="6" t="s">
        <v>1387</v>
      </c>
      <c r="G124" s="6"/>
      <c r="H124" s="209" t="s">
        <v>168</v>
      </c>
      <c r="I124" s="216" t="s">
        <v>169</v>
      </c>
      <c r="J124" s="216" t="s">
        <v>169</v>
      </c>
      <c r="K124" s="209"/>
      <c r="L124" s="216" t="s">
        <v>169</v>
      </c>
      <c r="M124" s="216"/>
      <c r="N124" s="6" t="s">
        <v>1388</v>
      </c>
      <c r="O124" s="54" t="s">
        <v>70</v>
      </c>
      <c r="P124" s="54" t="s">
        <v>70</v>
      </c>
      <c r="Q124" s="54" t="s">
        <v>70</v>
      </c>
      <c r="R124" s="6"/>
      <c r="S124" s="268" t="s">
        <v>1389</v>
      </c>
      <c r="T124" s="6" t="s">
        <v>1390</v>
      </c>
      <c r="U124" s="36">
        <v>3</v>
      </c>
      <c r="V124" s="36">
        <v>12</v>
      </c>
      <c r="W124" s="36" t="s">
        <v>1391</v>
      </c>
      <c r="X124" s="36" t="s">
        <v>125</v>
      </c>
      <c r="Y124" s="6" t="s">
        <v>76</v>
      </c>
      <c r="Z124" s="6" t="s">
        <v>76</v>
      </c>
      <c r="AA124" s="6" t="s">
        <v>76</v>
      </c>
      <c r="AB124" s="6" t="s">
        <v>76</v>
      </c>
      <c r="AC124" s="6" t="s">
        <v>75</v>
      </c>
      <c r="AD124" s="6" t="str">
        <f>_xlfn.TEXTJOIN("/",TRUE,IF(OfertaPlazas[[#This Row],[GITST]]="SI","GITST",""),IF(OfertaPlazas[[#This Row],[GIB]]="SI","GIB",""),IF(OfertaPlazas[[#This Row],[GISD]]="SI","GISD",""),IF(OfertaPlazas[[#This Row],[MASTER]]="SI","MASTER",""))</f>
        <v>MASTER</v>
      </c>
      <c r="AE124" s="6" t="s">
        <v>76</v>
      </c>
      <c r="AF124" s="6" t="s">
        <v>76</v>
      </c>
      <c r="AG124" s="6" t="s">
        <v>76</v>
      </c>
      <c r="AH124" s="6" t="s">
        <v>76</v>
      </c>
      <c r="AI124" s="6" t="s">
        <v>76</v>
      </c>
      <c r="AJ124" s="6" t="s">
        <v>76</v>
      </c>
      <c r="AK124" s="6" t="s">
        <v>76</v>
      </c>
      <c r="AL124" s="6" t="s">
        <v>76</v>
      </c>
      <c r="AM124" s="6" t="s">
        <v>76</v>
      </c>
      <c r="AN124" s="6" t="s">
        <v>76</v>
      </c>
      <c r="AO124" s="6" t="s">
        <v>75</v>
      </c>
      <c r="AP124" s="6" t="s">
        <v>75</v>
      </c>
      <c r="AQ124" s="6" t="s">
        <v>75</v>
      </c>
      <c r="AR124" s="6" t="s">
        <v>75</v>
      </c>
      <c r="AS124" s="27" t="s">
        <v>173</v>
      </c>
      <c r="AT124" s="301" t="s">
        <v>1392</v>
      </c>
      <c r="AU124" s="333" t="s">
        <v>1393</v>
      </c>
      <c r="AV124" s="13" t="s">
        <v>1394</v>
      </c>
      <c r="AW124" s="13"/>
      <c r="AX124" s="13"/>
      <c r="AY124" s="271"/>
      <c r="AZ124" s="271"/>
      <c r="BA124" s="271"/>
      <c r="BB124" s="271"/>
      <c r="BC124" s="271"/>
      <c r="BD124" s="271"/>
      <c r="BE124" s="334"/>
      <c r="BF124" s="319" t="e">
        <f>VLOOKUP(B124,'ENCUESTAS JUN-2021'!I:I,1,FALSE)</f>
        <v>#N/A</v>
      </c>
      <c r="BG124" s="335" t="s">
        <v>1395</v>
      </c>
      <c r="BH124" s="13"/>
      <c r="BI124" s="19"/>
      <c r="BL124" s="19" t="e">
        <f t="shared" si="3"/>
        <v>#REF!</v>
      </c>
    </row>
    <row r="125" spans="1:64" s="51" customFormat="1" ht="20.100000000000001" hidden="1" customHeight="1">
      <c r="A125" s="357">
        <v>124</v>
      </c>
      <c r="B125" s="13" t="s">
        <v>1396</v>
      </c>
      <c r="C125" s="252" t="s">
        <v>1397</v>
      </c>
      <c r="D125" s="63" t="s">
        <v>1398</v>
      </c>
      <c r="E125" s="6" t="s">
        <v>1399</v>
      </c>
      <c r="F125" s="6" t="s">
        <v>1387</v>
      </c>
      <c r="G125" s="54"/>
      <c r="H125" s="209" t="s">
        <v>1038</v>
      </c>
      <c r="I125" s="216" t="s">
        <v>89</v>
      </c>
      <c r="J125" s="216" t="s">
        <v>89</v>
      </c>
      <c r="K125" s="209"/>
      <c r="L125" s="216" t="s">
        <v>89</v>
      </c>
      <c r="M125" s="216"/>
      <c r="N125" s="6" t="s">
        <v>230</v>
      </c>
      <c r="O125" s="54"/>
      <c r="P125" s="54"/>
      <c r="Q125" s="54" t="s">
        <v>70</v>
      </c>
      <c r="R125" s="54"/>
      <c r="S125" s="150" t="s">
        <v>1400</v>
      </c>
      <c r="T125" s="6" t="s">
        <v>1390</v>
      </c>
      <c r="U125" s="36">
        <v>1</v>
      </c>
      <c r="V125" s="36">
        <v>9</v>
      </c>
      <c r="W125" s="36"/>
      <c r="X125" s="36"/>
      <c r="Y125" s="6" t="s">
        <v>76</v>
      </c>
      <c r="Z125" s="6" t="s">
        <v>76</v>
      </c>
      <c r="AA125" s="6" t="s">
        <v>76</v>
      </c>
      <c r="AB125" s="6" t="s">
        <v>76</v>
      </c>
      <c r="AC125" s="6" t="s">
        <v>75</v>
      </c>
      <c r="AD125" s="6" t="str">
        <f>_xlfn.TEXTJOIN("/",TRUE,IF(OfertaPlazas[[#This Row],[GITST]]="SI","GITST",""),IF(OfertaPlazas[[#This Row],[GIB]]="SI","GIB",""),IF(OfertaPlazas[[#This Row],[GISD]]="SI","GISD",""),IF(OfertaPlazas[[#This Row],[MASTER]]="SI","MASTER",""))</f>
        <v>MASTER</v>
      </c>
      <c r="AE125" s="6" t="s">
        <v>76</v>
      </c>
      <c r="AF125" s="6" t="s">
        <v>76</v>
      </c>
      <c r="AG125" s="6" t="s">
        <v>76</v>
      </c>
      <c r="AH125" s="6" t="s">
        <v>76</v>
      </c>
      <c r="AI125" s="6" t="s">
        <v>76</v>
      </c>
      <c r="AJ125" s="6" t="s">
        <v>76</v>
      </c>
      <c r="AK125" s="6" t="s">
        <v>76</v>
      </c>
      <c r="AL125" s="6" t="s">
        <v>76</v>
      </c>
      <c r="AM125" s="6" t="s">
        <v>76</v>
      </c>
      <c r="AN125" s="6" t="s">
        <v>76</v>
      </c>
      <c r="AO125" s="6" t="s">
        <v>76</v>
      </c>
      <c r="AP125" s="6" t="s">
        <v>76</v>
      </c>
      <c r="AQ125" s="6" t="s">
        <v>75</v>
      </c>
      <c r="AR125" s="6" t="s">
        <v>76</v>
      </c>
      <c r="AS125" s="27" t="s">
        <v>1401</v>
      </c>
      <c r="AT125" s="301"/>
      <c r="AU125" s="259" t="s">
        <v>1402</v>
      </c>
      <c r="AV125" s="328" t="s">
        <v>1403</v>
      </c>
      <c r="AW125" s="328"/>
      <c r="AX125" s="71"/>
      <c r="AY125" s="90"/>
      <c r="AZ125" s="90"/>
      <c r="BA125" s="90"/>
      <c r="BB125" s="90"/>
      <c r="BC125" s="90"/>
      <c r="BD125" s="90"/>
      <c r="BE125" s="322">
        <f>VLOOKUP(B125,'TEAMS_30-09-2021'!$D:$AG,30,FALSE)</f>
        <v>0</v>
      </c>
      <c r="BF125" s="319" t="e">
        <f>VLOOKUP(B125,'ENCUESTAS JUN-2021'!I:I,1,FALSE)</f>
        <v>#N/A</v>
      </c>
      <c r="BG125" s="221" t="str">
        <f>VLOOKUP(B125,'TEAMS_30-09-2021'!D:D,1,FALSE)</f>
        <v>Queen Mary University of London</v>
      </c>
      <c r="BH125" s="13"/>
      <c r="BI125" s="19"/>
      <c r="BL125" s="19" t="e">
        <f t="shared" si="3"/>
        <v>#REF!</v>
      </c>
    </row>
    <row r="126" spans="1:64" s="7" customFormat="1" ht="20.100000000000001" hidden="1" customHeight="1">
      <c r="A126" s="357">
        <v>125</v>
      </c>
      <c r="B126" s="221" t="s">
        <v>1404</v>
      </c>
      <c r="C126" s="278"/>
      <c r="D126" s="221" t="s">
        <v>1405</v>
      </c>
      <c r="E126" s="221"/>
      <c r="F126" s="16" t="s">
        <v>1406</v>
      </c>
      <c r="G126" s="54"/>
      <c r="H126" s="214" t="s">
        <v>1407</v>
      </c>
      <c r="I126" s="222" t="s">
        <v>103</v>
      </c>
      <c r="J126" s="222" t="s">
        <v>103</v>
      </c>
      <c r="K126" s="214" t="s">
        <v>1408</v>
      </c>
      <c r="L126" s="222" t="s">
        <v>68</v>
      </c>
      <c r="M126" s="222" t="s">
        <v>68</v>
      </c>
      <c r="N126" s="16" t="s">
        <v>230</v>
      </c>
      <c r="O126" s="54"/>
      <c r="P126" s="54" t="s">
        <v>628</v>
      </c>
      <c r="Q126" s="54" t="s">
        <v>628</v>
      </c>
      <c r="R126" s="54"/>
      <c r="S126" s="150" t="s">
        <v>1409</v>
      </c>
      <c r="T126" s="54" t="s">
        <v>1390</v>
      </c>
      <c r="U126" s="36">
        <v>1</v>
      </c>
      <c r="V126" s="36">
        <v>5</v>
      </c>
      <c r="W126" s="36" t="s">
        <v>1410</v>
      </c>
      <c r="X126" s="36" t="s">
        <v>1411</v>
      </c>
      <c r="Y126" s="6" t="s">
        <v>75</v>
      </c>
      <c r="Z126" s="6" t="s">
        <v>75</v>
      </c>
      <c r="AA126" s="6" t="s">
        <v>76</v>
      </c>
      <c r="AB126" s="6" t="s">
        <v>75</v>
      </c>
      <c r="AC126" s="6" t="s">
        <v>75</v>
      </c>
      <c r="AD126" s="6" t="str">
        <f>_xlfn.TEXTJOIN("/",TRUE,IF(OfertaPlazas[[#This Row],[GITST]]="SI","GITST",""),IF(OfertaPlazas[[#This Row],[GIB]]="SI","GIB",""),IF(OfertaPlazas[[#This Row],[GISD]]="SI","GISD",""),IF(OfertaPlazas[[#This Row],[MASTER]]="SI","MASTER",""))</f>
        <v>GITST/GISD/MASTER</v>
      </c>
      <c r="AE126" s="16" t="s">
        <v>75</v>
      </c>
      <c r="AF126" s="16" t="s">
        <v>75</v>
      </c>
      <c r="AG126" s="16" t="s">
        <v>76</v>
      </c>
      <c r="AH126" s="16" t="s">
        <v>75</v>
      </c>
      <c r="AI126" s="16" t="s">
        <v>75</v>
      </c>
      <c r="AJ126" s="16" t="s">
        <v>75</v>
      </c>
      <c r="AK126" s="16" t="s">
        <v>75</v>
      </c>
      <c r="AL126" s="6" t="s">
        <v>76</v>
      </c>
      <c r="AM126" s="6" t="s">
        <v>76</v>
      </c>
      <c r="AN126" s="6" t="s">
        <v>75</v>
      </c>
      <c r="AO126" s="6" t="s">
        <v>75</v>
      </c>
      <c r="AP126" s="6" t="s">
        <v>76</v>
      </c>
      <c r="AQ126" s="6" t="s">
        <v>75</v>
      </c>
      <c r="AR126" s="6" t="s">
        <v>76</v>
      </c>
      <c r="AS126" s="185" t="s">
        <v>1412</v>
      </c>
      <c r="AT126" s="301"/>
      <c r="AU126" s="13" t="s">
        <v>1413</v>
      </c>
      <c r="AV126" s="71" t="s">
        <v>1414</v>
      </c>
      <c r="AW126" s="71"/>
      <c r="AX126" s="13"/>
      <c r="AY126" s="71"/>
      <c r="AZ126" s="71"/>
      <c r="BA126" s="71"/>
      <c r="BB126" s="71"/>
      <c r="BC126" s="71"/>
      <c r="BD126" s="71"/>
      <c r="BE126" s="322"/>
      <c r="BF126" s="322"/>
      <c r="BG126" s="221"/>
      <c r="BH126" s="13"/>
      <c r="BI126" s="19"/>
      <c r="BL126" s="19" t="e">
        <f t="shared" si="3"/>
        <v>#REF!</v>
      </c>
    </row>
    <row r="127" spans="1:64" s="7" customFormat="1" ht="20.100000000000001" hidden="1" customHeight="1">
      <c r="A127" s="357">
        <v>126</v>
      </c>
      <c r="B127" s="221" t="s">
        <v>1415</v>
      </c>
      <c r="C127" s="278"/>
      <c r="D127" s="221" t="s">
        <v>1416</v>
      </c>
      <c r="E127" s="54"/>
      <c r="F127" s="6" t="s">
        <v>1406</v>
      </c>
      <c r="G127" s="54"/>
      <c r="H127" s="211" t="s">
        <v>1417</v>
      </c>
      <c r="I127" s="306" t="s">
        <v>169</v>
      </c>
      <c r="J127" s="306" t="s">
        <v>169</v>
      </c>
      <c r="K127" s="211" t="s">
        <v>1418</v>
      </c>
      <c r="L127" s="306" t="s">
        <v>142</v>
      </c>
      <c r="M127" s="306" t="s">
        <v>142</v>
      </c>
      <c r="N127" s="6" t="s">
        <v>230</v>
      </c>
      <c r="O127" s="6"/>
      <c r="P127" s="6" t="s">
        <v>70</v>
      </c>
      <c r="Q127" s="6"/>
      <c r="R127" s="6" t="s">
        <v>70</v>
      </c>
      <c r="S127" s="150" t="s">
        <v>1419</v>
      </c>
      <c r="T127" s="54" t="s">
        <v>72</v>
      </c>
      <c r="U127" s="36">
        <v>1</v>
      </c>
      <c r="V127" s="36">
        <v>10</v>
      </c>
      <c r="W127" s="36" t="s">
        <v>1420</v>
      </c>
      <c r="X127" s="36" t="s">
        <v>1421</v>
      </c>
      <c r="Y127" s="6" t="s">
        <v>75</v>
      </c>
      <c r="Z127" s="54" t="s">
        <v>75</v>
      </c>
      <c r="AA127" s="54" t="s">
        <v>75</v>
      </c>
      <c r="AB127" s="54" t="s">
        <v>76</v>
      </c>
      <c r="AC127" s="6" t="s">
        <v>75</v>
      </c>
      <c r="AD127" s="6" t="str">
        <f>_xlfn.TEXTJOIN("/",TRUE,IF(OfertaPlazas[[#This Row],[GITST]]="SI","GITST",""),IF(OfertaPlazas[[#This Row],[GIB]]="SI","GIB",""),IF(OfertaPlazas[[#This Row],[GISD]]="SI","GISD",""),IF(OfertaPlazas[[#This Row],[MASTER]]="SI","MASTER",""))</f>
        <v>GITST/GIB/MASTER</v>
      </c>
      <c r="AE127" s="6" t="s">
        <v>76</v>
      </c>
      <c r="AF127" s="6" t="s">
        <v>76</v>
      </c>
      <c r="AG127" s="6" t="s">
        <v>76</v>
      </c>
      <c r="AH127" s="6" t="s">
        <v>75</v>
      </c>
      <c r="AI127" s="6" t="s">
        <v>75</v>
      </c>
      <c r="AJ127" s="6" t="s">
        <v>75</v>
      </c>
      <c r="AK127" s="6" t="s">
        <v>75</v>
      </c>
      <c r="AL127" s="6" t="s">
        <v>75</v>
      </c>
      <c r="AM127" s="6" t="s">
        <v>75</v>
      </c>
      <c r="AN127" s="6" t="s">
        <v>75</v>
      </c>
      <c r="AO127" s="6" t="s">
        <v>75</v>
      </c>
      <c r="AP127" s="6" t="s">
        <v>75</v>
      </c>
      <c r="AQ127" s="6" t="s">
        <v>75</v>
      </c>
      <c r="AR127" s="54" t="s">
        <v>76</v>
      </c>
      <c r="AS127" s="185" t="s">
        <v>1422</v>
      </c>
      <c r="AT127" s="301"/>
      <c r="AU127" s="71" t="s">
        <v>1423</v>
      </c>
      <c r="AV127" s="71" t="s">
        <v>1424</v>
      </c>
      <c r="AW127" s="86"/>
      <c r="AX127" s="86"/>
      <c r="AY127" s="86"/>
      <c r="AZ127" s="86"/>
      <c r="BA127" s="86"/>
      <c r="BB127" s="86"/>
      <c r="BC127" s="86"/>
      <c r="BD127" s="86"/>
      <c r="BE127" s="86"/>
      <c r="BF127" s="322"/>
      <c r="BG127" s="221"/>
      <c r="BH127" s="13"/>
      <c r="BI127" s="19"/>
      <c r="BL127" s="19" t="e">
        <f t="shared" si="3"/>
        <v>#REF!</v>
      </c>
    </row>
    <row r="128" spans="1:64" s="1" customFormat="1" ht="18.75" hidden="1" customHeight="1">
      <c r="A128" s="357">
        <v>127</v>
      </c>
      <c r="B128" s="145" t="s">
        <v>1425</v>
      </c>
      <c r="C128" s="252"/>
      <c r="D128" s="240" t="s">
        <v>1426</v>
      </c>
      <c r="E128" s="26"/>
      <c r="F128" s="26" t="s">
        <v>1427</v>
      </c>
      <c r="G128" s="54"/>
      <c r="H128" s="211" t="s">
        <v>168</v>
      </c>
      <c r="I128" s="216" t="s">
        <v>169</v>
      </c>
      <c r="J128" s="216" t="s">
        <v>169</v>
      </c>
      <c r="K128" s="211"/>
      <c r="L128" s="216" t="s">
        <v>169</v>
      </c>
      <c r="M128" s="216"/>
      <c r="N128" s="26" t="s">
        <v>230</v>
      </c>
      <c r="O128" s="54"/>
      <c r="P128" s="54"/>
      <c r="Q128" s="54"/>
      <c r="R128" s="54"/>
      <c r="S128" s="240"/>
      <c r="T128" s="54" t="s">
        <v>72</v>
      </c>
      <c r="U128" s="60">
        <v>3</v>
      </c>
      <c r="V128" s="60">
        <v>12</v>
      </c>
      <c r="W128" s="60"/>
      <c r="X128" s="60"/>
      <c r="Y128" s="26" t="s">
        <v>76</v>
      </c>
      <c r="Z128" s="26" t="s">
        <v>76</v>
      </c>
      <c r="AA128" s="26" t="s">
        <v>76</v>
      </c>
      <c r="AB128" s="6" t="s">
        <v>76</v>
      </c>
      <c r="AC128" s="26" t="s">
        <v>75</v>
      </c>
      <c r="AD128" s="6" t="str">
        <f>_xlfn.TEXTJOIN("/",TRUE,IF(OfertaPlazas[[#This Row],[GITST]]="SI","GITST",""),IF(OfertaPlazas[[#This Row],[GIB]]="SI","GIB",""),IF(OfertaPlazas[[#This Row],[GISD]]="SI","GISD",""),IF(OfertaPlazas[[#This Row],[MASTER]]="SI","MASTER",""))</f>
        <v>MASTER</v>
      </c>
      <c r="AE128" s="6" t="s">
        <v>76</v>
      </c>
      <c r="AF128" s="6" t="s">
        <v>76</v>
      </c>
      <c r="AG128" s="6" t="s">
        <v>76</v>
      </c>
      <c r="AH128" s="26" t="s">
        <v>76</v>
      </c>
      <c r="AI128" s="26" t="s">
        <v>76</v>
      </c>
      <c r="AJ128" s="26" t="s">
        <v>76</v>
      </c>
      <c r="AK128" s="26" t="s">
        <v>76</v>
      </c>
      <c r="AL128" s="26" t="s">
        <v>76</v>
      </c>
      <c r="AM128" s="26" t="s">
        <v>76</v>
      </c>
      <c r="AN128" s="26" t="s">
        <v>76</v>
      </c>
      <c r="AO128" s="6" t="s">
        <v>75</v>
      </c>
      <c r="AP128" s="6" t="s">
        <v>75</v>
      </c>
      <c r="AQ128" s="6" t="s">
        <v>75</v>
      </c>
      <c r="AR128" s="26" t="s">
        <v>76</v>
      </c>
      <c r="AS128" s="185" t="s">
        <v>1428</v>
      </c>
      <c r="AT128" s="301"/>
      <c r="AU128" s="72" t="s">
        <v>1429</v>
      </c>
      <c r="AV128" s="71" t="s">
        <v>1430</v>
      </c>
      <c r="AW128" s="71"/>
      <c r="AX128" s="71"/>
      <c r="AY128" s="71"/>
      <c r="AZ128" s="71"/>
      <c r="BA128" s="71"/>
      <c r="BB128" s="71"/>
      <c r="BC128" s="71"/>
      <c r="BD128" s="71"/>
      <c r="BE128" s="322"/>
      <c r="BF128" s="322"/>
      <c r="BG128" s="221"/>
      <c r="BH128" s="13"/>
      <c r="BI128" s="19"/>
      <c r="BL128" s="19" t="e">
        <f t="shared" si="3"/>
        <v>#REF!</v>
      </c>
    </row>
    <row r="129" spans="1:64" s="143" customFormat="1" ht="20.100000000000001" hidden="1" customHeight="1">
      <c r="A129" s="357">
        <v>128</v>
      </c>
      <c r="B129" s="13" t="s">
        <v>1431</v>
      </c>
      <c r="C129" s="252"/>
      <c r="D129" s="63" t="s">
        <v>1432</v>
      </c>
      <c r="E129" s="6"/>
      <c r="F129" s="6" t="s">
        <v>1406</v>
      </c>
      <c r="G129" s="54"/>
      <c r="H129" s="209"/>
      <c r="I129" s="216"/>
      <c r="J129" s="216"/>
      <c r="K129" s="209"/>
      <c r="L129" s="216"/>
      <c r="M129" s="216"/>
      <c r="N129" s="6" t="s">
        <v>1433</v>
      </c>
      <c r="O129" s="6" t="s">
        <v>70</v>
      </c>
      <c r="P129" s="6" t="s">
        <v>70</v>
      </c>
      <c r="Q129" s="6" t="s">
        <v>70</v>
      </c>
      <c r="R129" s="6"/>
      <c r="S129" s="150" t="s">
        <v>1434</v>
      </c>
      <c r="T129" s="54" t="s">
        <v>72</v>
      </c>
      <c r="U129" s="36">
        <v>2</v>
      </c>
      <c r="V129" s="36">
        <v>10</v>
      </c>
      <c r="W129" s="36"/>
      <c r="X129" s="36"/>
      <c r="Y129" s="6" t="s">
        <v>75</v>
      </c>
      <c r="Z129" s="6" t="s">
        <v>75</v>
      </c>
      <c r="AA129" s="6" t="s">
        <v>76</v>
      </c>
      <c r="AB129" s="6" t="s">
        <v>75</v>
      </c>
      <c r="AC129" s="6" t="s">
        <v>76</v>
      </c>
      <c r="AD129" s="6" t="str">
        <f>_xlfn.TEXTJOIN("/",TRUE,IF(OfertaPlazas[[#This Row],[GITST]]="SI","GITST",""),IF(OfertaPlazas[[#This Row],[GIB]]="SI","GIB",""),IF(OfertaPlazas[[#This Row],[GISD]]="SI","GISD",""),IF(OfertaPlazas[[#This Row],[MASTER]]="SI","MASTER",""))</f>
        <v>GITST/GISD</v>
      </c>
      <c r="AE129" s="6" t="s">
        <v>76</v>
      </c>
      <c r="AF129" s="6" t="s">
        <v>76</v>
      </c>
      <c r="AG129" s="6" t="s">
        <v>76</v>
      </c>
      <c r="AH129" s="6" t="s">
        <v>75</v>
      </c>
      <c r="AI129" s="6" t="s">
        <v>75</v>
      </c>
      <c r="AJ129" s="6" t="s">
        <v>75</v>
      </c>
      <c r="AK129" s="6" t="s">
        <v>75</v>
      </c>
      <c r="AL129" s="6" t="s">
        <v>75</v>
      </c>
      <c r="AM129" s="6" t="s">
        <v>75</v>
      </c>
      <c r="AN129" s="6" t="s">
        <v>75</v>
      </c>
      <c r="AO129" s="6" t="s">
        <v>76</v>
      </c>
      <c r="AP129" s="6" t="s">
        <v>76</v>
      </c>
      <c r="AQ129" s="6" t="s">
        <v>76</v>
      </c>
      <c r="AR129" s="6" t="s">
        <v>76</v>
      </c>
      <c r="AS129" s="185" t="s">
        <v>173</v>
      </c>
      <c r="AT129" s="301"/>
      <c r="AU129" s="71" t="s">
        <v>1435</v>
      </c>
      <c r="AV129" s="221" t="s">
        <v>1436</v>
      </c>
      <c r="AW129" s="71"/>
      <c r="AX129" s="71"/>
      <c r="AY129" s="71"/>
      <c r="AZ129" s="71"/>
      <c r="BA129" s="71"/>
      <c r="BB129" s="71"/>
      <c r="BC129" s="71"/>
      <c r="BD129" s="71"/>
      <c r="BE129" s="319"/>
      <c r="BF129" s="319"/>
      <c r="BG129" s="63"/>
      <c r="BH129" s="3"/>
      <c r="BI129" s="2"/>
      <c r="BL129" s="19" t="e">
        <f t="shared" si="3"/>
        <v>#REF!</v>
      </c>
    </row>
    <row r="130" spans="1:64" s="19" customFormat="1" ht="18.75" hidden="1" customHeight="1">
      <c r="A130" s="357">
        <v>129</v>
      </c>
      <c r="B130" s="13" t="s">
        <v>1437</v>
      </c>
      <c r="C130" s="252"/>
      <c r="D130" s="63" t="s">
        <v>1438</v>
      </c>
      <c r="E130" s="13"/>
      <c r="F130" s="6" t="s">
        <v>1439</v>
      </c>
      <c r="G130" s="60" t="s">
        <v>614</v>
      </c>
      <c r="H130" s="209" t="s">
        <v>1440</v>
      </c>
      <c r="I130" s="216" t="s">
        <v>68</v>
      </c>
      <c r="J130" s="216" t="s">
        <v>1441</v>
      </c>
      <c r="K130" s="209"/>
      <c r="L130" s="216"/>
      <c r="M130" s="216"/>
      <c r="N130" s="6" t="s">
        <v>230</v>
      </c>
      <c r="O130" s="54"/>
      <c r="P130" s="54"/>
      <c r="Q130" s="54"/>
      <c r="R130" s="54"/>
      <c r="S130" s="150" t="s">
        <v>1442</v>
      </c>
      <c r="T130" s="54" t="s">
        <v>72</v>
      </c>
      <c r="U130" s="36">
        <v>2</v>
      </c>
      <c r="V130" s="345" t="s">
        <v>1443</v>
      </c>
      <c r="W130" s="225" t="s">
        <v>1444</v>
      </c>
      <c r="X130" s="36" t="s">
        <v>1445</v>
      </c>
      <c r="Y130" s="6" t="s">
        <v>76</v>
      </c>
      <c r="Z130" s="6" t="s">
        <v>76</v>
      </c>
      <c r="AA130" s="6" t="s">
        <v>76</v>
      </c>
      <c r="AB130" s="6" t="s">
        <v>76</v>
      </c>
      <c r="AC130" s="6" t="s">
        <v>75</v>
      </c>
      <c r="AD130" s="6" t="str">
        <f>_xlfn.TEXTJOIN("/",TRUE,IF(OfertaPlazas[[#This Row],[GITST]]="SI","GITST",""),IF(OfertaPlazas[[#This Row],[GIB]]="SI","GIB",""),IF(OfertaPlazas[[#This Row],[GISD]]="SI","GISD",""),IF(OfertaPlazas[[#This Row],[MASTER]]="SI","MASTER",""))</f>
        <v>MASTER</v>
      </c>
      <c r="AE130" s="6" t="s">
        <v>76</v>
      </c>
      <c r="AF130" s="6" t="s">
        <v>76</v>
      </c>
      <c r="AG130" s="6" t="s">
        <v>76</v>
      </c>
      <c r="AH130" s="6" t="s">
        <v>76</v>
      </c>
      <c r="AI130" s="6" t="s">
        <v>76</v>
      </c>
      <c r="AJ130" s="6" t="s">
        <v>76</v>
      </c>
      <c r="AK130" s="6" t="s">
        <v>76</v>
      </c>
      <c r="AL130" s="6" t="s">
        <v>76</v>
      </c>
      <c r="AM130" s="6" t="s">
        <v>76</v>
      </c>
      <c r="AN130" s="6" t="s">
        <v>76</v>
      </c>
      <c r="AO130" s="6" t="s">
        <v>76</v>
      </c>
      <c r="AP130" s="6" t="s">
        <v>76</v>
      </c>
      <c r="AQ130" s="6" t="s">
        <v>75</v>
      </c>
      <c r="AR130" s="6" t="s">
        <v>75</v>
      </c>
      <c r="AS130" s="300" t="s">
        <v>1446</v>
      </c>
      <c r="AT130" s="301"/>
      <c r="AU130" s="259" t="s">
        <v>1447</v>
      </c>
      <c r="AV130" s="40" t="s">
        <v>1448</v>
      </c>
      <c r="AW130" s="40"/>
      <c r="AX130" s="13"/>
      <c r="AY130" s="71"/>
      <c r="AZ130" s="71"/>
      <c r="BA130" s="71"/>
      <c r="BB130" s="71"/>
      <c r="BC130" s="71"/>
      <c r="BD130" s="71"/>
      <c r="BE130" s="322"/>
      <c r="BF130" s="322"/>
      <c r="BG130" s="221"/>
      <c r="BH130" s="13"/>
      <c r="BL130" s="19" t="e">
        <f t="shared" si="3"/>
        <v>#REF!</v>
      </c>
    </row>
    <row r="131" spans="1:64" s="7" customFormat="1" ht="20.100000000000001" hidden="1" customHeight="1">
      <c r="A131" s="357">
        <v>130</v>
      </c>
      <c r="B131" s="13" t="s">
        <v>1449</v>
      </c>
      <c r="C131" s="252"/>
      <c r="D131" s="63" t="s">
        <v>1450</v>
      </c>
      <c r="E131" s="6"/>
      <c r="F131" s="6" t="s">
        <v>1406</v>
      </c>
      <c r="G131" s="54"/>
      <c r="H131" s="209"/>
      <c r="I131" s="216"/>
      <c r="J131" s="216"/>
      <c r="K131" s="209"/>
      <c r="L131" s="216"/>
      <c r="M131" s="216"/>
      <c r="N131" s="6" t="s">
        <v>1433</v>
      </c>
      <c r="O131" s="6" t="s">
        <v>70</v>
      </c>
      <c r="P131" s="6" t="s">
        <v>70</v>
      </c>
      <c r="Q131" s="6" t="s">
        <v>70</v>
      </c>
      <c r="R131" s="54"/>
      <c r="S131" s="150" t="s">
        <v>1434</v>
      </c>
      <c r="T131" s="54" t="s">
        <v>72</v>
      </c>
      <c r="U131" s="36">
        <v>1</v>
      </c>
      <c r="V131" s="36">
        <v>10</v>
      </c>
      <c r="W131" s="36"/>
      <c r="X131" s="36"/>
      <c r="Y131" s="6" t="s">
        <v>75</v>
      </c>
      <c r="Z131" s="6" t="s">
        <v>75</v>
      </c>
      <c r="AA131" s="6" t="s">
        <v>76</v>
      </c>
      <c r="AB131" s="6" t="s">
        <v>75</v>
      </c>
      <c r="AC131" s="6" t="s">
        <v>76</v>
      </c>
      <c r="AD131" s="6" t="str">
        <f>_xlfn.TEXTJOIN("/",TRUE,IF(OfertaPlazas[[#This Row],[GITST]]="SI","GITST",""),IF(OfertaPlazas[[#This Row],[GIB]]="SI","GIB",""),IF(OfertaPlazas[[#This Row],[GISD]]="SI","GISD",""),IF(OfertaPlazas[[#This Row],[MASTER]]="SI","MASTER",""))</f>
        <v>GITST/GISD</v>
      </c>
      <c r="AE131" s="6" t="s">
        <v>76</v>
      </c>
      <c r="AF131" s="6" t="s">
        <v>76</v>
      </c>
      <c r="AG131" s="6" t="s">
        <v>76</v>
      </c>
      <c r="AH131" s="6" t="s">
        <v>75</v>
      </c>
      <c r="AI131" s="6" t="s">
        <v>75</v>
      </c>
      <c r="AJ131" s="6" t="s">
        <v>75</v>
      </c>
      <c r="AK131" s="6" t="s">
        <v>75</v>
      </c>
      <c r="AL131" s="6" t="s">
        <v>75</v>
      </c>
      <c r="AM131" s="6" t="s">
        <v>75</v>
      </c>
      <c r="AN131" s="6" t="s">
        <v>75</v>
      </c>
      <c r="AO131" s="6" t="s">
        <v>76</v>
      </c>
      <c r="AP131" s="6" t="s">
        <v>76</v>
      </c>
      <c r="AQ131" s="6" t="s">
        <v>76</v>
      </c>
      <c r="AR131" s="6" t="s">
        <v>76</v>
      </c>
      <c r="AS131" s="185" t="s">
        <v>173</v>
      </c>
      <c r="AT131" s="301"/>
      <c r="AU131" s="40" t="s">
        <v>1451</v>
      </c>
      <c r="AV131" s="221" t="s">
        <v>1452</v>
      </c>
      <c r="AW131" s="71"/>
      <c r="AX131" s="71"/>
      <c r="AY131" s="13"/>
      <c r="AZ131" s="13"/>
      <c r="BA131" s="13"/>
      <c r="BB131" s="13"/>
      <c r="BC131" s="13"/>
      <c r="BD131" s="13"/>
      <c r="BE131" s="322"/>
      <c r="BF131" s="322"/>
      <c r="BG131" s="221"/>
      <c r="BH131" s="13"/>
      <c r="BI131" s="19"/>
    </row>
    <row r="132" spans="1:64" s="7" customFormat="1" ht="20.100000000000001" hidden="1" customHeight="1">
      <c r="A132" s="357">
        <v>131</v>
      </c>
      <c r="B132" s="259" t="s">
        <v>1453</v>
      </c>
      <c r="C132" s="341"/>
      <c r="D132" s="63" t="s">
        <v>1454</v>
      </c>
      <c r="E132" s="6"/>
      <c r="F132" s="6" t="s">
        <v>1455</v>
      </c>
      <c r="G132" s="60" t="s">
        <v>614</v>
      </c>
      <c r="H132" s="264" t="s">
        <v>1456</v>
      </c>
      <c r="I132" s="216" t="s">
        <v>1457</v>
      </c>
      <c r="J132" s="216" t="s">
        <v>1458</v>
      </c>
      <c r="K132" s="209"/>
      <c r="L132" s="216" t="s">
        <v>1459</v>
      </c>
      <c r="M132" s="216"/>
      <c r="N132" s="6" t="s">
        <v>230</v>
      </c>
      <c r="O132" s="6"/>
      <c r="P132" s="54" t="s">
        <v>70</v>
      </c>
      <c r="Q132" s="54" t="s">
        <v>70</v>
      </c>
      <c r="R132" s="6" t="s">
        <v>70</v>
      </c>
      <c r="S132" s="63"/>
      <c r="T132" s="54" t="s">
        <v>72</v>
      </c>
      <c r="U132" s="36">
        <v>2</v>
      </c>
      <c r="V132" s="36">
        <v>12</v>
      </c>
      <c r="W132" s="36" t="s">
        <v>1460</v>
      </c>
      <c r="X132" s="36" t="s">
        <v>1461</v>
      </c>
      <c r="Y132" s="6" t="s">
        <v>76</v>
      </c>
      <c r="Z132" s="6" t="s">
        <v>76</v>
      </c>
      <c r="AA132" s="6" t="s">
        <v>76</v>
      </c>
      <c r="AB132" s="6" t="s">
        <v>76</v>
      </c>
      <c r="AC132" s="6" t="s">
        <v>75</v>
      </c>
      <c r="AD132" s="6" t="str">
        <f>_xlfn.TEXTJOIN("/",TRUE,IF(OfertaPlazas[[#This Row],[GITST]]="SI","GITST",""),IF(OfertaPlazas[[#This Row],[GIB]]="SI","GIB",""),IF(OfertaPlazas[[#This Row],[GISD]]="SI","GISD",""),IF(OfertaPlazas[[#This Row],[MASTER]]="SI","MASTER",""))</f>
        <v>MASTER</v>
      </c>
      <c r="AE132" s="6" t="s">
        <v>76</v>
      </c>
      <c r="AF132" s="6" t="s">
        <v>76</v>
      </c>
      <c r="AG132" s="6" t="s">
        <v>76</v>
      </c>
      <c r="AH132" s="6" t="s">
        <v>76</v>
      </c>
      <c r="AI132" s="6" t="s">
        <v>76</v>
      </c>
      <c r="AJ132" s="6" t="s">
        <v>76</v>
      </c>
      <c r="AK132" s="6" t="s">
        <v>76</v>
      </c>
      <c r="AL132" s="6" t="s">
        <v>76</v>
      </c>
      <c r="AM132" s="6" t="s">
        <v>76</v>
      </c>
      <c r="AN132" s="6" t="s">
        <v>76</v>
      </c>
      <c r="AO132" s="6" t="s">
        <v>76</v>
      </c>
      <c r="AP132" s="6" t="s">
        <v>75</v>
      </c>
      <c r="AQ132" s="6" t="s">
        <v>1462</v>
      </c>
      <c r="AR132" s="6" t="s">
        <v>75</v>
      </c>
      <c r="AS132" s="27" t="s">
        <v>173</v>
      </c>
      <c r="AT132" s="301" t="s">
        <v>1463</v>
      </c>
      <c r="AU132" s="259" t="s">
        <v>1464</v>
      </c>
      <c r="AV132" s="71" t="s">
        <v>1465</v>
      </c>
      <c r="AW132" s="71"/>
      <c r="AX132" s="71"/>
      <c r="AY132" s="54"/>
      <c r="AZ132" s="54"/>
      <c r="BA132" s="54"/>
      <c r="BB132" s="54"/>
      <c r="BC132" s="54"/>
      <c r="BD132" s="54"/>
      <c r="BE132" s="319"/>
      <c r="BF132" s="319"/>
      <c r="BG132" s="63"/>
      <c r="BH132" s="54"/>
      <c r="BI132" s="1"/>
    </row>
    <row r="133" spans="1:64" s="7" customFormat="1" ht="20.100000000000001" hidden="1" customHeight="1">
      <c r="A133" s="357">
        <v>132</v>
      </c>
      <c r="B133" s="13" t="s">
        <v>1466</v>
      </c>
      <c r="C133" s="252"/>
      <c r="D133" s="244" t="s">
        <v>1467</v>
      </c>
      <c r="E133" s="6"/>
      <c r="F133" s="16" t="s">
        <v>1455</v>
      </c>
      <c r="G133" s="60" t="s">
        <v>614</v>
      </c>
      <c r="H133" s="263" t="s">
        <v>1468</v>
      </c>
      <c r="I133" s="222" t="s">
        <v>68</v>
      </c>
      <c r="J133" s="222" t="s">
        <v>68</v>
      </c>
      <c r="K133" s="214"/>
      <c r="L133" s="222" t="s">
        <v>68</v>
      </c>
      <c r="M133" s="222"/>
      <c r="N133" s="16" t="s">
        <v>230</v>
      </c>
      <c r="O133" s="54"/>
      <c r="P133" s="54"/>
      <c r="Q133" s="54"/>
      <c r="R133" s="54"/>
      <c r="S133" s="63"/>
      <c r="T133" s="54" t="s">
        <v>72</v>
      </c>
      <c r="U133" s="36">
        <v>1</v>
      </c>
      <c r="V133" s="36">
        <v>12</v>
      </c>
      <c r="W133" s="36" t="s">
        <v>1469</v>
      </c>
      <c r="X133" s="36" t="s">
        <v>1470</v>
      </c>
      <c r="Y133" s="6" t="s">
        <v>76</v>
      </c>
      <c r="Z133" s="6" t="s">
        <v>76</v>
      </c>
      <c r="AA133" s="6" t="s">
        <v>76</v>
      </c>
      <c r="AB133" s="6" t="s">
        <v>76</v>
      </c>
      <c r="AC133" s="6" t="s">
        <v>75</v>
      </c>
      <c r="AD133" s="6" t="str">
        <f>_xlfn.TEXTJOIN("/",TRUE,IF(OfertaPlazas[[#This Row],[GITST]]="SI","GITST",""),IF(OfertaPlazas[[#This Row],[GIB]]="SI","GIB",""),IF(OfertaPlazas[[#This Row],[GISD]]="SI","GISD",""),IF(OfertaPlazas[[#This Row],[MASTER]]="SI","MASTER",""))</f>
        <v>MASTER</v>
      </c>
      <c r="AE133" s="6" t="s">
        <v>76</v>
      </c>
      <c r="AF133" s="6" t="s">
        <v>76</v>
      </c>
      <c r="AG133" s="6" t="s">
        <v>76</v>
      </c>
      <c r="AH133" s="6" t="s">
        <v>76</v>
      </c>
      <c r="AI133" s="6" t="s">
        <v>76</v>
      </c>
      <c r="AJ133" s="6" t="s">
        <v>76</v>
      </c>
      <c r="AK133" s="6" t="s">
        <v>76</v>
      </c>
      <c r="AL133" s="6" t="s">
        <v>76</v>
      </c>
      <c r="AM133" s="6" t="s">
        <v>76</v>
      </c>
      <c r="AN133" s="6" t="s">
        <v>76</v>
      </c>
      <c r="AO133" s="6" t="s">
        <v>76</v>
      </c>
      <c r="AP133" s="6" t="s">
        <v>76</v>
      </c>
      <c r="AQ133" s="6" t="s">
        <v>76</v>
      </c>
      <c r="AR133" s="6" t="s">
        <v>75</v>
      </c>
      <c r="AS133" s="27" t="s">
        <v>173</v>
      </c>
      <c r="AT133" s="301"/>
      <c r="AU133" s="13" t="s">
        <v>1471</v>
      </c>
      <c r="AV133" s="13" t="s">
        <v>1472</v>
      </c>
      <c r="AW133" s="13"/>
      <c r="AX133" s="13"/>
      <c r="AY133" s="72"/>
      <c r="AZ133" s="72"/>
      <c r="BA133" s="72"/>
      <c r="BB133" s="72"/>
      <c r="BC133" s="72"/>
      <c r="BD133" s="72"/>
      <c r="BE133" s="321"/>
      <c r="BF133" s="321"/>
      <c r="BG133" s="221"/>
      <c r="BH133" s="13"/>
      <c r="BI133" s="19"/>
    </row>
    <row r="134" spans="1:64" s="7" customFormat="1" ht="20.100000000000001" hidden="1" customHeight="1">
      <c r="A134" s="357">
        <v>133</v>
      </c>
      <c r="B134" s="13" t="s">
        <v>1473</v>
      </c>
      <c r="C134" s="252"/>
      <c r="D134" s="63" t="s">
        <v>1474</v>
      </c>
      <c r="E134" s="6"/>
      <c r="F134" s="6" t="s">
        <v>1475</v>
      </c>
      <c r="G134" s="54"/>
      <c r="H134" s="209"/>
      <c r="I134" s="216"/>
      <c r="J134" s="216"/>
      <c r="K134" s="209"/>
      <c r="L134" s="216"/>
      <c r="M134" s="216"/>
      <c r="N134" s="6" t="s">
        <v>1433</v>
      </c>
      <c r="O134" s="6" t="s">
        <v>70</v>
      </c>
      <c r="P134" s="6" t="s">
        <v>70</v>
      </c>
      <c r="Q134" s="6"/>
      <c r="R134" s="6" t="s">
        <v>70</v>
      </c>
      <c r="S134" s="150" t="s">
        <v>1476</v>
      </c>
      <c r="T134" s="54" t="s">
        <v>72</v>
      </c>
      <c r="U134" s="36">
        <v>3</v>
      </c>
      <c r="V134" s="36">
        <v>5</v>
      </c>
      <c r="W134" s="379" t="s">
        <v>1477</v>
      </c>
      <c r="X134" s="36"/>
      <c r="Y134" s="6" t="s">
        <v>75</v>
      </c>
      <c r="Z134" s="6" t="s">
        <v>75</v>
      </c>
      <c r="AA134" s="6" t="s">
        <v>75</v>
      </c>
      <c r="AB134" s="6" t="s">
        <v>76</v>
      </c>
      <c r="AC134" s="6" t="s">
        <v>76</v>
      </c>
      <c r="AD134" s="6" t="str">
        <f>_xlfn.TEXTJOIN("/",TRUE,IF(OfertaPlazas[[#This Row],[GITST]]="SI","GITST",""),IF(OfertaPlazas[[#This Row],[GIB]]="SI","GIB",""),IF(OfertaPlazas[[#This Row],[GISD]]="SI","GISD",""),IF(OfertaPlazas[[#This Row],[MASTER]]="SI","MASTER",""))</f>
        <v>GITST/GIB</v>
      </c>
      <c r="AE134" s="6" t="s">
        <v>76</v>
      </c>
      <c r="AF134" s="6" t="s">
        <v>76</v>
      </c>
      <c r="AG134" s="6" t="s">
        <v>76</v>
      </c>
      <c r="AH134" s="6" t="s">
        <v>75</v>
      </c>
      <c r="AI134" s="6" t="s">
        <v>75</v>
      </c>
      <c r="AJ134" s="6" t="s">
        <v>75</v>
      </c>
      <c r="AK134" s="6" t="s">
        <v>75</v>
      </c>
      <c r="AL134" s="6" t="s">
        <v>75</v>
      </c>
      <c r="AM134" s="6" t="s">
        <v>75</v>
      </c>
      <c r="AN134" s="6" t="s">
        <v>75</v>
      </c>
      <c r="AO134" s="6" t="s">
        <v>76</v>
      </c>
      <c r="AP134" s="6" t="s">
        <v>76</v>
      </c>
      <c r="AQ134" s="6" t="s">
        <v>76</v>
      </c>
      <c r="AR134" s="6" t="s">
        <v>76</v>
      </c>
      <c r="AS134" s="272" t="s">
        <v>1478</v>
      </c>
      <c r="AT134" s="301"/>
      <c r="AU134" s="40" t="s">
        <v>1479</v>
      </c>
      <c r="AV134" s="221" t="s">
        <v>1480</v>
      </c>
      <c r="AW134" s="71"/>
      <c r="AX134" s="71"/>
      <c r="AY134" s="13"/>
      <c r="AZ134" s="13"/>
      <c r="BA134" s="13"/>
      <c r="BB134" s="13"/>
      <c r="BC134" s="13"/>
      <c r="BD134" s="13"/>
      <c r="BE134" s="322"/>
      <c r="BF134" s="322"/>
      <c r="BG134" s="221"/>
      <c r="BH134" s="13"/>
      <c r="BI134" s="19"/>
      <c r="BL134" s="19" t="e">
        <f>VLOOKUP(E134,#REF!,1,FALSE)</f>
        <v>#REF!</v>
      </c>
    </row>
    <row r="135" spans="1:64" s="7" customFormat="1" ht="20.100000000000001" hidden="1" customHeight="1">
      <c r="A135" s="357">
        <v>134</v>
      </c>
      <c r="B135" s="40" t="s">
        <v>1481</v>
      </c>
      <c r="C135" s="267"/>
      <c r="D135" s="244" t="s">
        <v>1482</v>
      </c>
      <c r="E135" s="6"/>
      <c r="F135" s="6" t="s">
        <v>1483</v>
      </c>
      <c r="G135" s="36" t="s">
        <v>1484</v>
      </c>
      <c r="H135" s="209" t="s">
        <v>1485</v>
      </c>
      <c r="I135" s="216" t="s">
        <v>1486</v>
      </c>
      <c r="J135" s="216" t="s">
        <v>1486</v>
      </c>
      <c r="K135" s="209"/>
      <c r="L135" s="216" t="s">
        <v>1486</v>
      </c>
      <c r="M135" s="216"/>
      <c r="N135" s="6" t="s">
        <v>230</v>
      </c>
      <c r="O135" s="6"/>
      <c r="P135" s="6"/>
      <c r="Q135" s="6"/>
      <c r="R135" s="6"/>
      <c r="S135" s="63"/>
      <c r="T135" s="54" t="s">
        <v>72</v>
      </c>
      <c r="U135" s="36">
        <v>5</v>
      </c>
      <c r="V135" s="36">
        <v>12</v>
      </c>
      <c r="W135" s="225" t="s">
        <v>1487</v>
      </c>
      <c r="X135" s="36" t="s">
        <v>1488</v>
      </c>
      <c r="Y135" s="6" t="s">
        <v>76</v>
      </c>
      <c r="Z135" s="6" t="s">
        <v>76</v>
      </c>
      <c r="AA135" s="6" t="s">
        <v>76</v>
      </c>
      <c r="AB135" s="6" t="s">
        <v>76</v>
      </c>
      <c r="AC135" s="6" t="s">
        <v>75</v>
      </c>
      <c r="AD135" s="6" t="str">
        <f>_xlfn.TEXTJOIN("/",TRUE,IF(OfertaPlazas[[#This Row],[GITST]]="SI","GITST",""),IF(OfertaPlazas[[#This Row],[GIB]]="SI","GIB",""),IF(OfertaPlazas[[#This Row],[GISD]]="SI","GISD",""),IF(OfertaPlazas[[#This Row],[MASTER]]="SI","MASTER",""))</f>
        <v>MASTER</v>
      </c>
      <c r="AE135" s="6" t="s">
        <v>76</v>
      </c>
      <c r="AF135" s="6" t="s">
        <v>76</v>
      </c>
      <c r="AG135" s="6" t="s">
        <v>76</v>
      </c>
      <c r="AH135" s="6" t="s">
        <v>76</v>
      </c>
      <c r="AI135" s="6" t="s">
        <v>76</v>
      </c>
      <c r="AJ135" s="6" t="s">
        <v>76</v>
      </c>
      <c r="AK135" s="6" t="s">
        <v>76</v>
      </c>
      <c r="AL135" s="6" t="s">
        <v>76</v>
      </c>
      <c r="AM135" s="6" t="s">
        <v>76</v>
      </c>
      <c r="AN135" s="6" t="s">
        <v>76</v>
      </c>
      <c r="AO135" s="6" t="s">
        <v>76</v>
      </c>
      <c r="AP135" s="6" t="s">
        <v>76</v>
      </c>
      <c r="AQ135" s="6" t="s">
        <v>76</v>
      </c>
      <c r="AR135" s="6" t="s">
        <v>75</v>
      </c>
      <c r="AS135" s="27" t="s">
        <v>173</v>
      </c>
      <c r="AT135" s="301" t="s">
        <v>1489</v>
      </c>
      <c r="AU135" s="13" t="s">
        <v>1490</v>
      </c>
      <c r="AV135" s="13" t="s">
        <v>1491</v>
      </c>
      <c r="AW135" s="305" t="s">
        <v>1492</v>
      </c>
      <c r="AX135" s="13"/>
      <c r="AY135" s="146"/>
      <c r="AZ135" s="146"/>
      <c r="BA135" s="146"/>
      <c r="BB135" s="146"/>
      <c r="BC135" s="146"/>
      <c r="BD135" s="146"/>
      <c r="BE135" s="319"/>
      <c r="BF135" s="319"/>
      <c r="BG135" s="63"/>
      <c r="BH135" s="13"/>
      <c r="BI135" s="19"/>
    </row>
    <row r="136" spans="1:64" s="19" customFormat="1" ht="21" hidden="1" customHeight="1">
      <c r="A136" s="357">
        <v>135</v>
      </c>
      <c r="B136" s="40" t="s">
        <v>1493</v>
      </c>
      <c r="C136" s="267"/>
      <c r="D136" s="244" t="s">
        <v>1494</v>
      </c>
      <c r="E136" s="6"/>
      <c r="F136" s="6" t="s">
        <v>1483</v>
      </c>
      <c r="G136" s="36" t="s">
        <v>1484</v>
      </c>
      <c r="H136" s="209" t="s">
        <v>1495</v>
      </c>
      <c r="I136" s="216" t="s">
        <v>1496</v>
      </c>
      <c r="J136" s="216" t="s">
        <v>258</v>
      </c>
      <c r="K136" s="209" t="s">
        <v>442</v>
      </c>
      <c r="L136" s="216" t="s">
        <v>106</v>
      </c>
      <c r="M136" s="216" t="s">
        <v>141</v>
      </c>
      <c r="N136" s="6" t="s">
        <v>230</v>
      </c>
      <c r="O136" s="26"/>
      <c r="P136" s="26"/>
      <c r="Q136" s="26"/>
      <c r="R136" s="26"/>
      <c r="S136" s="63"/>
      <c r="T136" s="54" t="s">
        <v>72</v>
      </c>
      <c r="U136" s="36">
        <v>6</v>
      </c>
      <c r="V136" s="36">
        <v>12</v>
      </c>
      <c r="W136" s="36" t="s">
        <v>1497</v>
      </c>
      <c r="X136" s="36" t="s">
        <v>1498</v>
      </c>
      <c r="Y136" s="6" t="s">
        <v>75</v>
      </c>
      <c r="Z136" s="6" t="s">
        <v>75</v>
      </c>
      <c r="AA136" s="6" t="s">
        <v>75</v>
      </c>
      <c r="AB136" s="6" t="s">
        <v>76</v>
      </c>
      <c r="AC136" s="6" t="s">
        <v>75</v>
      </c>
      <c r="AD136" s="6" t="str">
        <f>_xlfn.TEXTJOIN("/",TRUE,IF(OfertaPlazas[[#This Row],[GITST]]="SI","GITST",""),IF(OfertaPlazas[[#This Row],[GIB]]="SI","GIB",""),IF(OfertaPlazas[[#This Row],[GISD]]="SI","GISD",""),IF(OfertaPlazas[[#This Row],[MASTER]]="SI","MASTER",""))</f>
        <v>GITST/GIB/MASTER</v>
      </c>
      <c r="AE136" s="6" t="s">
        <v>75</v>
      </c>
      <c r="AF136" s="6" t="s">
        <v>75</v>
      </c>
      <c r="AG136" s="6" t="s">
        <v>75</v>
      </c>
      <c r="AH136" s="6" t="s">
        <v>75</v>
      </c>
      <c r="AI136" s="6" t="s">
        <v>75</v>
      </c>
      <c r="AJ136" s="6" t="s">
        <v>75</v>
      </c>
      <c r="AK136" s="6" t="s">
        <v>75</v>
      </c>
      <c r="AL136" s="6" t="s">
        <v>75</v>
      </c>
      <c r="AM136" s="6" t="s">
        <v>75</v>
      </c>
      <c r="AN136" s="6" t="s">
        <v>75</v>
      </c>
      <c r="AO136" s="6" t="s">
        <v>75</v>
      </c>
      <c r="AP136" s="6" t="s">
        <v>75</v>
      </c>
      <c r="AQ136" s="6" t="s">
        <v>75</v>
      </c>
      <c r="AR136" s="6" t="s">
        <v>75</v>
      </c>
      <c r="AS136" s="27" t="s">
        <v>173</v>
      </c>
      <c r="AT136" s="301" t="s">
        <v>1499</v>
      </c>
      <c r="AU136" s="259" t="s">
        <v>1500</v>
      </c>
      <c r="AV136" s="40" t="s">
        <v>1501</v>
      </c>
      <c r="AW136" s="40" t="s">
        <v>48</v>
      </c>
      <c r="AX136" s="71"/>
      <c r="AY136" s="13"/>
      <c r="AZ136" s="13"/>
      <c r="BA136" s="13"/>
      <c r="BB136" s="13"/>
      <c r="BC136" s="13"/>
      <c r="BD136" s="13"/>
      <c r="BE136" s="319"/>
      <c r="BF136" s="319"/>
      <c r="BG136" s="240"/>
      <c r="BH136" s="71"/>
      <c r="BI136" s="7"/>
    </row>
    <row r="137" spans="1:64" s="7" customFormat="1" ht="20.100000000000001" hidden="1" customHeight="1">
      <c r="A137" s="357">
        <v>136</v>
      </c>
      <c r="B137" s="71" t="s">
        <v>1502</v>
      </c>
      <c r="C137" s="252"/>
      <c r="D137" s="63" t="s">
        <v>1503</v>
      </c>
      <c r="E137" s="6"/>
      <c r="F137" s="6" t="s">
        <v>1504</v>
      </c>
      <c r="G137" s="54"/>
      <c r="H137" s="209" t="s">
        <v>1505</v>
      </c>
      <c r="I137" s="216" t="s">
        <v>90</v>
      </c>
      <c r="J137" s="216" t="s">
        <v>1506</v>
      </c>
      <c r="K137" s="209" t="s">
        <v>1507</v>
      </c>
      <c r="L137" s="216" t="s">
        <v>92</v>
      </c>
      <c r="M137" s="216" t="s">
        <v>1508</v>
      </c>
      <c r="N137" s="6" t="s">
        <v>230</v>
      </c>
      <c r="O137" s="54"/>
      <c r="P137" s="54"/>
      <c r="Q137" s="54"/>
      <c r="R137" s="54"/>
      <c r="S137" s="63"/>
      <c r="T137" s="54" t="s">
        <v>72</v>
      </c>
      <c r="U137" s="36">
        <v>2</v>
      </c>
      <c r="V137" s="36">
        <v>10</v>
      </c>
      <c r="W137" s="36" t="s">
        <v>1509</v>
      </c>
      <c r="X137" s="36"/>
      <c r="Y137" s="6" t="s">
        <v>75</v>
      </c>
      <c r="Z137" s="6" t="s">
        <v>75</v>
      </c>
      <c r="AA137" s="6" t="s">
        <v>76</v>
      </c>
      <c r="AB137" s="6" t="s">
        <v>75</v>
      </c>
      <c r="AC137" s="6" t="s">
        <v>76</v>
      </c>
      <c r="AD137" s="6" t="str">
        <f>_xlfn.TEXTJOIN("/",TRUE,IF(OfertaPlazas[[#This Row],[GITST]]="SI","GITST",""),IF(OfertaPlazas[[#This Row],[GIB]]="SI","GIB",""),IF(OfertaPlazas[[#This Row],[GISD]]="SI","GISD",""),IF(OfertaPlazas[[#This Row],[MASTER]]="SI","MASTER",""))</f>
        <v>GITST/GISD</v>
      </c>
      <c r="AE137" s="6" t="s">
        <v>75</v>
      </c>
      <c r="AF137" s="6" t="s">
        <v>75</v>
      </c>
      <c r="AG137" s="6" t="s">
        <v>75</v>
      </c>
      <c r="AH137" s="6" t="s">
        <v>75</v>
      </c>
      <c r="AI137" s="6" t="s">
        <v>75</v>
      </c>
      <c r="AJ137" s="6" t="s">
        <v>75</v>
      </c>
      <c r="AK137" s="6" t="s">
        <v>75</v>
      </c>
      <c r="AL137" s="6" t="s">
        <v>75</v>
      </c>
      <c r="AM137" s="6" t="s">
        <v>75</v>
      </c>
      <c r="AN137" s="6" t="s">
        <v>75</v>
      </c>
      <c r="AO137" s="6" t="s">
        <v>76</v>
      </c>
      <c r="AP137" s="6" t="s">
        <v>76</v>
      </c>
      <c r="AQ137" s="6" t="s">
        <v>76</v>
      </c>
      <c r="AR137" s="6" t="s">
        <v>76</v>
      </c>
      <c r="AS137" s="259" t="s">
        <v>1510</v>
      </c>
      <c r="AT137" s="301" t="s">
        <v>1511</v>
      </c>
      <c r="AU137" s="40"/>
      <c r="AV137" s="63" t="s">
        <v>1512</v>
      </c>
      <c r="AW137" s="63"/>
      <c r="AX137" s="6"/>
      <c r="AY137" s="71"/>
      <c r="AZ137" s="71"/>
      <c r="BA137" s="71"/>
      <c r="BB137" s="239" t="s">
        <v>1513</v>
      </c>
      <c r="BC137" s="71"/>
      <c r="BD137" s="71"/>
      <c r="BE137" s="322"/>
      <c r="BF137" s="322"/>
      <c r="BG137" s="221"/>
      <c r="BH137" s="71"/>
    </row>
    <row r="138" spans="1:64" s="7" customFormat="1" ht="19.5" hidden="1" customHeight="1">
      <c r="A138" s="357">
        <v>137</v>
      </c>
      <c r="B138" s="13" t="s">
        <v>1514</v>
      </c>
      <c r="C138" s="252"/>
      <c r="D138" s="63" t="s">
        <v>1515</v>
      </c>
      <c r="E138" s="6"/>
      <c r="F138" s="6" t="s">
        <v>1504</v>
      </c>
      <c r="G138" s="6"/>
      <c r="H138" s="209" t="s">
        <v>1516</v>
      </c>
      <c r="I138" s="216" t="s">
        <v>477</v>
      </c>
      <c r="J138" s="216" t="s">
        <v>119</v>
      </c>
      <c r="K138" s="209" t="s">
        <v>1517</v>
      </c>
      <c r="L138" s="216" t="s">
        <v>142</v>
      </c>
      <c r="M138" s="216" t="s">
        <v>208</v>
      </c>
      <c r="N138" s="6" t="s">
        <v>230</v>
      </c>
      <c r="O138" s="54"/>
      <c r="P138" s="54"/>
      <c r="Q138" s="54"/>
      <c r="R138" s="54"/>
      <c r="S138" s="63"/>
      <c r="T138" s="54" t="s">
        <v>72</v>
      </c>
      <c r="U138" s="36">
        <v>1</v>
      </c>
      <c r="V138" s="36">
        <v>12</v>
      </c>
      <c r="W138" s="36" t="s">
        <v>1518</v>
      </c>
      <c r="X138" s="36" t="s">
        <v>1519</v>
      </c>
      <c r="Y138" s="6" t="s">
        <v>75</v>
      </c>
      <c r="Z138" s="6" t="s">
        <v>75</v>
      </c>
      <c r="AA138" s="6" t="s">
        <v>75</v>
      </c>
      <c r="AB138" s="6" t="s">
        <v>76</v>
      </c>
      <c r="AC138" s="6" t="s">
        <v>75</v>
      </c>
      <c r="AD138" s="6" t="str">
        <f>_xlfn.TEXTJOIN("/",TRUE,IF(OfertaPlazas[[#This Row],[GITST]]="SI","GITST",""),IF(OfertaPlazas[[#This Row],[GIB]]="SI","GIB",""),IF(OfertaPlazas[[#This Row],[GISD]]="SI","GISD",""),IF(OfertaPlazas[[#This Row],[MASTER]]="SI","MASTER",""))</f>
        <v>GITST/GIB/MASTER</v>
      </c>
      <c r="AE138" s="6" t="s">
        <v>75</v>
      </c>
      <c r="AF138" s="6" t="s">
        <v>75</v>
      </c>
      <c r="AG138" s="6" t="s">
        <v>75</v>
      </c>
      <c r="AH138" s="6" t="s">
        <v>75</v>
      </c>
      <c r="AI138" s="6" t="s">
        <v>75</v>
      </c>
      <c r="AJ138" s="6" t="s">
        <v>75</v>
      </c>
      <c r="AK138" s="6" t="s">
        <v>75</v>
      </c>
      <c r="AL138" s="6" t="s">
        <v>75</v>
      </c>
      <c r="AM138" s="6" t="s">
        <v>75</v>
      </c>
      <c r="AN138" s="6" t="s">
        <v>75</v>
      </c>
      <c r="AO138" s="6" t="s">
        <v>75</v>
      </c>
      <c r="AP138" s="6" t="s">
        <v>76</v>
      </c>
      <c r="AQ138" s="6" t="s">
        <v>75</v>
      </c>
      <c r="AR138" s="6" t="s">
        <v>76</v>
      </c>
      <c r="AS138" s="40" t="s">
        <v>1520</v>
      </c>
      <c r="AT138" s="301"/>
      <c r="AU138" s="145"/>
      <c r="AV138" s="221" t="s">
        <v>1521</v>
      </c>
      <c r="AW138" s="221"/>
      <c r="AX138" s="54"/>
      <c r="AY138" s="54"/>
      <c r="AZ138" s="54"/>
      <c r="BA138" s="54"/>
      <c r="BB138" s="54"/>
      <c r="BC138" s="54"/>
      <c r="BD138" s="54"/>
      <c r="BE138" s="322"/>
      <c r="BF138" s="322"/>
      <c r="BG138" s="221"/>
      <c r="BH138" s="71"/>
    </row>
    <row r="139" spans="1:64" s="7" customFormat="1" ht="19.5" hidden="1" customHeight="1">
      <c r="A139" s="357">
        <v>138</v>
      </c>
      <c r="B139" s="13" t="s">
        <v>1522</v>
      </c>
      <c r="C139" s="252"/>
      <c r="D139" s="63" t="s">
        <v>1523</v>
      </c>
      <c r="E139" s="6"/>
      <c r="F139" s="6" t="s">
        <v>1483</v>
      </c>
      <c r="G139" s="36" t="s">
        <v>1484</v>
      </c>
      <c r="H139" s="209" t="s">
        <v>1524</v>
      </c>
      <c r="I139" s="216" t="s">
        <v>153</v>
      </c>
      <c r="J139" s="216" t="s">
        <v>153</v>
      </c>
      <c r="K139" s="209" t="s">
        <v>1525</v>
      </c>
      <c r="L139" s="216"/>
      <c r="M139" s="216" t="s">
        <v>141</v>
      </c>
      <c r="N139" s="6" t="s">
        <v>230</v>
      </c>
      <c r="O139" s="54"/>
      <c r="P139" s="54"/>
      <c r="Q139" s="54"/>
      <c r="R139" s="54"/>
      <c r="S139" s="63"/>
      <c r="T139" s="54" t="s">
        <v>72</v>
      </c>
      <c r="U139" s="36">
        <v>15</v>
      </c>
      <c r="V139" s="36">
        <v>12</v>
      </c>
      <c r="W139" s="36" t="s">
        <v>1526</v>
      </c>
      <c r="X139" s="36" t="s">
        <v>1527</v>
      </c>
      <c r="Y139" s="6" t="s">
        <v>75</v>
      </c>
      <c r="Z139" s="6" t="s">
        <v>75</v>
      </c>
      <c r="AA139" s="6" t="s">
        <v>75</v>
      </c>
      <c r="AB139" s="6" t="s">
        <v>75</v>
      </c>
      <c r="AC139" s="6" t="s">
        <v>75</v>
      </c>
      <c r="AD139" s="6" t="str">
        <f>_xlfn.TEXTJOIN("/",TRUE,IF(OfertaPlazas[[#This Row],[GITST]]="SI","GITST",""),IF(OfertaPlazas[[#This Row],[GIB]]="SI","GIB",""),IF(OfertaPlazas[[#This Row],[GISD]]="SI","GISD",""),IF(OfertaPlazas[[#This Row],[MASTER]]="SI","MASTER",""))</f>
        <v>GITST/GIB/GISD/MASTER</v>
      </c>
      <c r="AE139" s="6" t="s">
        <v>76</v>
      </c>
      <c r="AF139" s="6" t="s">
        <v>76</v>
      </c>
      <c r="AG139" s="6" t="s">
        <v>76</v>
      </c>
      <c r="AH139" s="6" t="s">
        <v>75</v>
      </c>
      <c r="AI139" s="6" t="s">
        <v>75</v>
      </c>
      <c r="AJ139" s="6" t="s">
        <v>76</v>
      </c>
      <c r="AK139" s="6" t="s">
        <v>76</v>
      </c>
      <c r="AL139" s="6" t="s">
        <v>75</v>
      </c>
      <c r="AM139" s="6" t="s">
        <v>76</v>
      </c>
      <c r="AN139" s="6" t="s">
        <v>76</v>
      </c>
      <c r="AO139" s="6" t="s">
        <v>76</v>
      </c>
      <c r="AP139" s="6" t="s">
        <v>76</v>
      </c>
      <c r="AQ139" s="6" t="s">
        <v>76</v>
      </c>
      <c r="AR139" s="6" t="s">
        <v>75</v>
      </c>
      <c r="AS139" s="301" t="s">
        <v>1528</v>
      </c>
      <c r="AT139" s="301"/>
      <c r="AU139" s="259" t="s">
        <v>1529</v>
      </c>
      <c r="AV139" s="40" t="s">
        <v>1530</v>
      </c>
      <c r="AW139" s="40"/>
      <c r="AX139" s="13"/>
      <c r="AY139" s="71"/>
      <c r="AZ139" s="71"/>
      <c r="BA139" s="71"/>
      <c r="BB139" s="71"/>
      <c r="BC139" s="71"/>
      <c r="BD139" s="71"/>
      <c r="BE139" s="322"/>
      <c r="BF139" s="322"/>
      <c r="BG139" s="221"/>
      <c r="BH139" s="71"/>
    </row>
    <row r="140" spans="1:64" s="81" customFormat="1" ht="20.100000000000001" hidden="1" customHeight="1">
      <c r="A140" s="357">
        <v>139</v>
      </c>
      <c r="B140" s="13" t="s">
        <v>1531</v>
      </c>
      <c r="C140" s="27"/>
      <c r="D140" s="13" t="s">
        <v>1532</v>
      </c>
      <c r="E140" s="6"/>
      <c r="F140" s="6" t="s">
        <v>1475</v>
      </c>
      <c r="G140" s="54"/>
      <c r="H140" s="209"/>
      <c r="I140" s="216"/>
      <c r="J140" s="216"/>
      <c r="K140" s="209"/>
      <c r="L140" s="216"/>
      <c r="M140" s="216"/>
      <c r="N140" s="6" t="s">
        <v>230</v>
      </c>
      <c r="O140" s="6"/>
      <c r="P140" s="6"/>
      <c r="Q140" s="6"/>
      <c r="R140" s="6"/>
      <c r="S140" s="63"/>
      <c r="T140" s="54" t="s">
        <v>72</v>
      </c>
      <c r="U140" s="36">
        <v>2</v>
      </c>
      <c r="V140" s="36">
        <v>12</v>
      </c>
      <c r="W140" s="36"/>
      <c r="X140" s="36"/>
      <c r="Y140" s="6" t="s">
        <v>75</v>
      </c>
      <c r="Z140" s="6" t="s">
        <v>76</v>
      </c>
      <c r="AA140" s="6" t="s">
        <v>75</v>
      </c>
      <c r="AB140" s="6" t="s">
        <v>76</v>
      </c>
      <c r="AC140" s="6" t="s">
        <v>76</v>
      </c>
      <c r="AD140" s="6" t="str">
        <f>_xlfn.TEXTJOIN("/",TRUE,IF(OfertaPlazas[[#This Row],[GITST]]="SI","GITST",""),IF(OfertaPlazas[[#This Row],[GIB]]="SI","GIB",""),IF(OfertaPlazas[[#This Row],[GISD]]="SI","GISD",""),IF(OfertaPlazas[[#This Row],[MASTER]]="SI","MASTER",""))</f>
        <v>GIB</v>
      </c>
      <c r="AE140" s="6" t="s">
        <v>75</v>
      </c>
      <c r="AF140" s="6" t="s">
        <v>75</v>
      </c>
      <c r="AG140" s="6" t="s">
        <v>75</v>
      </c>
      <c r="AH140" s="6" t="s">
        <v>75</v>
      </c>
      <c r="AI140" s="6" t="s">
        <v>75</v>
      </c>
      <c r="AJ140" s="6" t="s">
        <v>75</v>
      </c>
      <c r="AK140" s="6" t="s">
        <v>75</v>
      </c>
      <c r="AL140" s="6" t="s">
        <v>75</v>
      </c>
      <c r="AM140" s="6" t="s">
        <v>75</v>
      </c>
      <c r="AN140" s="6" t="s">
        <v>75</v>
      </c>
      <c r="AO140" s="6" t="s">
        <v>76</v>
      </c>
      <c r="AP140" s="6" t="s">
        <v>76</v>
      </c>
      <c r="AQ140" s="6" t="s">
        <v>76</v>
      </c>
      <c r="AR140" s="6" t="s">
        <v>76</v>
      </c>
      <c r="AS140" s="185" t="s">
        <v>173</v>
      </c>
      <c r="AT140" s="185"/>
      <c r="AU140" s="384" t="s">
        <v>1533</v>
      </c>
      <c r="AV140" s="71" t="s">
        <v>1534</v>
      </c>
      <c r="AW140" s="71"/>
      <c r="AX140" s="71"/>
      <c r="AY140" s="71"/>
      <c r="AZ140" s="71"/>
      <c r="BA140" s="71"/>
      <c r="BB140" s="71"/>
      <c r="BC140" s="71"/>
      <c r="BD140" s="71"/>
      <c r="BE140" s="319"/>
      <c r="BF140" s="319"/>
      <c r="BG140" s="63"/>
      <c r="BH140" s="13"/>
      <c r="BI140" s="19"/>
    </row>
    <row r="141" spans="1:64" s="7" customFormat="1" ht="20.100000000000001" hidden="1" customHeight="1">
      <c r="A141" s="357">
        <v>140</v>
      </c>
      <c r="B141" s="13" t="s">
        <v>1535</v>
      </c>
      <c r="C141" s="252"/>
      <c r="D141" s="63" t="s">
        <v>1474</v>
      </c>
      <c r="E141" s="6"/>
      <c r="F141" s="6" t="s">
        <v>1475</v>
      </c>
      <c r="G141" s="54"/>
      <c r="H141" s="209"/>
      <c r="I141" s="216"/>
      <c r="J141" s="216"/>
      <c r="K141" s="209"/>
      <c r="L141" s="216"/>
      <c r="M141" s="216"/>
      <c r="N141" s="6" t="s">
        <v>230</v>
      </c>
      <c r="O141" s="54"/>
      <c r="P141" s="54"/>
      <c r="Q141" s="54"/>
      <c r="R141" s="54"/>
      <c r="S141" s="63"/>
      <c r="T141" s="54" t="s">
        <v>72</v>
      </c>
      <c r="U141" s="36">
        <v>2</v>
      </c>
      <c r="V141" s="36">
        <v>10</v>
      </c>
      <c r="W141" s="379" t="s">
        <v>1536</v>
      </c>
      <c r="X141" s="36" t="s">
        <v>1537</v>
      </c>
      <c r="Y141" s="6" t="s">
        <v>75</v>
      </c>
      <c r="Z141" s="6" t="s">
        <v>76</v>
      </c>
      <c r="AA141" s="6" t="s">
        <v>75</v>
      </c>
      <c r="AB141" s="6" t="s">
        <v>76</v>
      </c>
      <c r="AC141" s="6" t="s">
        <v>75</v>
      </c>
      <c r="AD141" s="6" t="str">
        <f>_xlfn.TEXTJOIN("/",TRUE,IF(OfertaPlazas[[#This Row],[GITST]]="SI","GITST",""),IF(OfertaPlazas[[#This Row],[GIB]]="SI","GIB",""),IF(OfertaPlazas[[#This Row],[GISD]]="SI","GISD",""),IF(OfertaPlazas[[#This Row],[MASTER]]="SI","MASTER",""))</f>
        <v>GIB/MASTER</v>
      </c>
      <c r="AE141" s="6" t="s">
        <v>75</v>
      </c>
      <c r="AF141" s="6" t="s">
        <v>75</v>
      </c>
      <c r="AG141" s="6" t="s">
        <v>75</v>
      </c>
      <c r="AH141" s="6" t="s">
        <v>75</v>
      </c>
      <c r="AI141" s="6" t="s">
        <v>75</v>
      </c>
      <c r="AJ141" s="6" t="s">
        <v>75</v>
      </c>
      <c r="AK141" s="6" t="s">
        <v>75</v>
      </c>
      <c r="AL141" s="6" t="s">
        <v>75</v>
      </c>
      <c r="AM141" s="6" t="s">
        <v>75</v>
      </c>
      <c r="AN141" s="6" t="s">
        <v>75</v>
      </c>
      <c r="AO141" s="6" t="s">
        <v>75</v>
      </c>
      <c r="AP141" s="6" t="s">
        <v>76</v>
      </c>
      <c r="AQ141" s="6" t="s">
        <v>76</v>
      </c>
      <c r="AR141" s="6" t="s">
        <v>76</v>
      </c>
      <c r="AS141" s="272" t="s">
        <v>1478</v>
      </c>
      <c r="AT141" s="272"/>
      <c r="AU141" s="383"/>
      <c r="AV141" s="71" t="s">
        <v>1538</v>
      </c>
      <c r="AW141" s="71"/>
      <c r="AX141" s="71"/>
      <c r="AY141" s="71"/>
      <c r="AZ141" s="71"/>
      <c r="BA141" s="71"/>
      <c r="BB141" s="71"/>
      <c r="BC141" s="71"/>
      <c r="BD141" s="71"/>
      <c r="BE141" s="322"/>
      <c r="BF141" s="322"/>
      <c r="BG141" s="221"/>
      <c r="BH141" s="71"/>
    </row>
    <row r="142" spans="1:64" s="7" customFormat="1" ht="20.100000000000001" hidden="1" customHeight="1">
      <c r="A142" s="357">
        <v>141</v>
      </c>
      <c r="B142" s="13" t="s">
        <v>1539</v>
      </c>
      <c r="C142" s="252"/>
      <c r="D142" s="244" t="s">
        <v>1540</v>
      </c>
      <c r="E142" s="6"/>
      <c r="F142" s="16" t="s">
        <v>1475</v>
      </c>
      <c r="G142" s="54"/>
      <c r="H142" s="214"/>
      <c r="I142" s="222"/>
      <c r="J142" s="222"/>
      <c r="K142" s="214"/>
      <c r="L142" s="222"/>
      <c r="M142" s="222"/>
      <c r="N142" s="16" t="s">
        <v>230</v>
      </c>
      <c r="O142" s="54"/>
      <c r="P142" s="54"/>
      <c r="Q142" s="54"/>
      <c r="R142" s="54"/>
      <c r="S142" s="150" t="s">
        <v>1476</v>
      </c>
      <c r="T142" s="6" t="s">
        <v>1390</v>
      </c>
      <c r="U142" s="36">
        <v>2</v>
      </c>
      <c r="V142" s="36">
        <v>10</v>
      </c>
      <c r="W142" s="36"/>
      <c r="X142" s="36"/>
      <c r="Y142" s="6" t="s">
        <v>75</v>
      </c>
      <c r="Z142" s="6" t="s">
        <v>75</v>
      </c>
      <c r="AA142" s="6" t="s">
        <v>75</v>
      </c>
      <c r="AB142" s="6" t="s">
        <v>76</v>
      </c>
      <c r="AC142" s="6" t="s">
        <v>75</v>
      </c>
      <c r="AD142" s="6" t="str">
        <f>_xlfn.TEXTJOIN("/",TRUE,IF(OfertaPlazas[[#This Row],[GITST]]="SI","GITST",""),IF(OfertaPlazas[[#This Row],[GIB]]="SI","GIB",""),IF(OfertaPlazas[[#This Row],[GISD]]="SI","GISD",""),IF(OfertaPlazas[[#This Row],[MASTER]]="SI","MASTER",""))</f>
        <v>GITST/GIB/MASTER</v>
      </c>
      <c r="AE142" s="6" t="s">
        <v>75</v>
      </c>
      <c r="AF142" s="6" t="s">
        <v>75</v>
      </c>
      <c r="AG142" s="6" t="s">
        <v>75</v>
      </c>
      <c r="AH142" s="6" t="s">
        <v>75</v>
      </c>
      <c r="AI142" s="6" t="s">
        <v>75</v>
      </c>
      <c r="AJ142" s="6" t="s">
        <v>75</v>
      </c>
      <c r="AK142" s="6" t="s">
        <v>75</v>
      </c>
      <c r="AL142" s="6" t="s">
        <v>75</v>
      </c>
      <c r="AM142" s="6" t="s">
        <v>75</v>
      </c>
      <c r="AN142" s="6" t="s">
        <v>75</v>
      </c>
      <c r="AO142" s="6" t="s">
        <v>75</v>
      </c>
      <c r="AP142" s="6" t="s">
        <v>75</v>
      </c>
      <c r="AQ142" s="6" t="s">
        <v>75</v>
      </c>
      <c r="AR142" s="6" t="s">
        <v>76</v>
      </c>
      <c r="AS142" s="272" t="s">
        <v>1478</v>
      </c>
      <c r="AT142" s="272"/>
      <c r="AU142" s="13"/>
      <c r="AV142" s="40" t="s">
        <v>1541</v>
      </c>
      <c r="AW142" s="40"/>
      <c r="AX142" s="13"/>
      <c r="AY142" s="145"/>
      <c r="AZ142" s="145"/>
      <c r="BA142" s="145"/>
      <c r="BB142" s="145"/>
      <c r="BC142" s="145"/>
      <c r="BD142" s="145"/>
      <c r="BE142" s="322"/>
      <c r="BF142" s="322"/>
      <c r="BG142" s="221"/>
      <c r="BH142" s="71"/>
    </row>
    <row r="143" spans="1:64" s="7" customFormat="1" ht="20.100000000000001" hidden="1" customHeight="1">
      <c r="A143" s="357">
        <v>142</v>
      </c>
      <c r="B143" s="13" t="s">
        <v>1542</v>
      </c>
      <c r="C143" s="252"/>
      <c r="D143" s="63" t="s">
        <v>1543</v>
      </c>
      <c r="E143" s="6"/>
      <c r="F143" s="6" t="s">
        <v>1544</v>
      </c>
      <c r="G143" s="54"/>
      <c r="H143" s="209" t="s">
        <v>1545</v>
      </c>
      <c r="I143" s="216" t="s">
        <v>1546</v>
      </c>
      <c r="J143" s="216" t="s">
        <v>1547</v>
      </c>
      <c r="K143" s="209" t="s">
        <v>1548</v>
      </c>
      <c r="L143" s="216" t="s">
        <v>1549</v>
      </c>
      <c r="M143" s="216" t="s">
        <v>582</v>
      </c>
      <c r="N143" s="6" t="s">
        <v>230</v>
      </c>
      <c r="O143" s="6"/>
      <c r="P143" s="6"/>
      <c r="Q143" s="6"/>
      <c r="R143" s="6"/>
      <c r="S143" s="153"/>
      <c r="T143" s="54" t="s">
        <v>1390</v>
      </c>
      <c r="U143" s="36">
        <v>2</v>
      </c>
      <c r="V143" s="36">
        <v>12</v>
      </c>
      <c r="W143" s="36" t="s">
        <v>1550</v>
      </c>
      <c r="X143" s="36" t="s">
        <v>1551</v>
      </c>
      <c r="Y143" s="6" t="s">
        <v>75</v>
      </c>
      <c r="Z143" s="6" t="s">
        <v>75</v>
      </c>
      <c r="AA143" s="6" t="s">
        <v>75</v>
      </c>
      <c r="AB143" s="6" t="s">
        <v>75</v>
      </c>
      <c r="AC143" s="6" t="s">
        <v>75</v>
      </c>
      <c r="AD143" s="6" t="str">
        <f>_xlfn.TEXTJOIN("/",TRUE,IF(OfertaPlazas[[#This Row],[GITST]]="SI","GITST",""),IF(OfertaPlazas[[#This Row],[GIB]]="SI","GIB",""),IF(OfertaPlazas[[#This Row],[GISD]]="SI","GISD",""),IF(OfertaPlazas[[#This Row],[MASTER]]="SI","MASTER",""))</f>
        <v>GITST/GIB/GISD/MASTER</v>
      </c>
      <c r="AE143" s="6" t="s">
        <v>75</v>
      </c>
      <c r="AF143" s="6" t="s">
        <v>75</v>
      </c>
      <c r="AG143" s="6" t="s">
        <v>75</v>
      </c>
      <c r="AH143" s="6" t="s">
        <v>75</v>
      </c>
      <c r="AI143" s="6" t="s">
        <v>75</v>
      </c>
      <c r="AJ143" s="6" t="s">
        <v>75</v>
      </c>
      <c r="AK143" s="6" t="s">
        <v>75</v>
      </c>
      <c r="AL143" s="6" t="s">
        <v>75</v>
      </c>
      <c r="AM143" s="6" t="s">
        <v>75</v>
      </c>
      <c r="AN143" s="6" t="s">
        <v>75</v>
      </c>
      <c r="AO143" s="6" t="s">
        <v>75</v>
      </c>
      <c r="AP143" s="6" t="s">
        <v>75</v>
      </c>
      <c r="AQ143" s="6" t="s">
        <v>75</v>
      </c>
      <c r="AR143" s="6" t="s">
        <v>75</v>
      </c>
      <c r="AS143" s="185" t="s">
        <v>1552</v>
      </c>
      <c r="AT143" s="301"/>
      <c r="AU143" s="13" t="s">
        <v>1553</v>
      </c>
      <c r="AV143" s="197" t="s">
        <v>1554</v>
      </c>
      <c r="AW143" s="40"/>
      <c r="AX143" s="71"/>
      <c r="AY143" s="13"/>
      <c r="AZ143" s="13"/>
      <c r="BA143" s="13"/>
      <c r="BB143" s="13"/>
      <c r="BC143" s="13"/>
      <c r="BD143" s="13"/>
      <c r="BE143" s="319"/>
      <c r="BF143" s="319"/>
      <c r="BG143" s="63"/>
      <c r="BH143" s="71"/>
    </row>
    <row r="144" spans="1:64" s="7" customFormat="1" ht="20.100000000000001" hidden="1" customHeight="1">
      <c r="A144" s="357">
        <v>143</v>
      </c>
      <c r="B144" s="13" t="s">
        <v>1555</v>
      </c>
      <c r="C144" s="252"/>
      <c r="D144" s="63" t="s">
        <v>1432</v>
      </c>
      <c r="E144" s="6"/>
      <c r="F144" s="6" t="s">
        <v>1406</v>
      </c>
      <c r="G144" s="6"/>
      <c r="H144" s="209"/>
      <c r="I144" s="216"/>
      <c r="J144" s="216"/>
      <c r="K144" s="209"/>
      <c r="L144" s="216"/>
      <c r="M144" s="216"/>
      <c r="N144" s="6" t="s">
        <v>1433</v>
      </c>
      <c r="O144" s="6" t="s">
        <v>70</v>
      </c>
      <c r="P144" s="6" t="s">
        <v>70</v>
      </c>
      <c r="Q144" s="6" t="s">
        <v>70</v>
      </c>
      <c r="R144" s="13"/>
      <c r="S144" s="150" t="s">
        <v>1434</v>
      </c>
      <c r="T144" s="54" t="s">
        <v>72</v>
      </c>
      <c r="U144" s="36">
        <v>2</v>
      </c>
      <c r="V144" s="36">
        <v>10</v>
      </c>
      <c r="W144" s="36"/>
      <c r="X144" s="36"/>
      <c r="Y144" s="6" t="s">
        <v>75</v>
      </c>
      <c r="Z144" s="6" t="s">
        <v>75</v>
      </c>
      <c r="AA144" s="6" t="s">
        <v>76</v>
      </c>
      <c r="AB144" s="6" t="s">
        <v>75</v>
      </c>
      <c r="AC144" s="6" t="s">
        <v>76</v>
      </c>
      <c r="AD144" s="6" t="str">
        <f>_xlfn.TEXTJOIN("/",TRUE,IF(OfertaPlazas[[#This Row],[GITST]]="SI","GITST",""),IF(OfertaPlazas[[#This Row],[GIB]]="SI","GIB",""),IF(OfertaPlazas[[#This Row],[GISD]]="SI","GISD",""),IF(OfertaPlazas[[#This Row],[MASTER]]="SI","MASTER",""))</f>
        <v>GITST/GISD</v>
      </c>
      <c r="AE144" s="6" t="s">
        <v>76</v>
      </c>
      <c r="AF144" s="6" t="s">
        <v>76</v>
      </c>
      <c r="AG144" s="6" t="s">
        <v>76</v>
      </c>
      <c r="AH144" s="6" t="s">
        <v>75</v>
      </c>
      <c r="AI144" s="6" t="s">
        <v>75</v>
      </c>
      <c r="AJ144" s="6" t="s">
        <v>75</v>
      </c>
      <c r="AK144" s="6" t="s">
        <v>75</v>
      </c>
      <c r="AL144" s="6" t="s">
        <v>75</v>
      </c>
      <c r="AM144" s="6" t="s">
        <v>75</v>
      </c>
      <c r="AN144" s="6" t="s">
        <v>75</v>
      </c>
      <c r="AO144" s="6" t="s">
        <v>76</v>
      </c>
      <c r="AP144" s="6" t="s">
        <v>76</v>
      </c>
      <c r="AQ144" s="6" t="s">
        <v>76</v>
      </c>
      <c r="AR144" s="6" t="s">
        <v>76</v>
      </c>
      <c r="AS144" s="185" t="s">
        <v>173</v>
      </c>
      <c r="AT144" s="301"/>
      <c r="AU144" s="40" t="s">
        <v>1435</v>
      </c>
      <c r="AV144" s="71" t="s">
        <v>1556</v>
      </c>
      <c r="AW144" s="71"/>
      <c r="AX144" s="71"/>
      <c r="AY144" s="71"/>
      <c r="AZ144" s="71"/>
      <c r="BA144" s="71"/>
      <c r="BB144" s="71"/>
      <c r="BC144" s="71"/>
      <c r="BD144" s="71"/>
      <c r="BE144" s="322"/>
      <c r="BF144" s="322"/>
      <c r="BG144" s="221"/>
      <c r="BH144" s="13"/>
      <c r="BI144" s="69"/>
    </row>
    <row r="145" spans="1:64" s="19" customFormat="1" ht="20.100000000000001" hidden="1" customHeight="1">
      <c r="A145" s="357">
        <v>144</v>
      </c>
      <c r="B145" s="289" t="s">
        <v>1557</v>
      </c>
      <c r="C145" s="252"/>
      <c r="D145" s="13" t="s">
        <v>1558</v>
      </c>
      <c r="E145" s="26"/>
      <c r="F145" s="6" t="s">
        <v>1559</v>
      </c>
      <c r="G145" s="6"/>
      <c r="H145" s="209"/>
      <c r="I145" s="209"/>
      <c r="J145" s="209"/>
      <c r="K145" s="209"/>
      <c r="L145" s="209"/>
      <c r="M145" s="209"/>
      <c r="N145" s="6" t="s">
        <v>230</v>
      </c>
      <c r="O145" s="26"/>
      <c r="P145" s="26"/>
      <c r="Q145" s="26"/>
      <c r="R145" s="26"/>
      <c r="S145" s="63"/>
      <c r="T145" s="54" t="s">
        <v>72</v>
      </c>
      <c r="U145" s="36">
        <v>1</v>
      </c>
      <c r="V145" s="36">
        <v>6</v>
      </c>
      <c r="W145" s="36" t="s">
        <v>1560</v>
      </c>
      <c r="X145" s="36" t="s">
        <v>1561</v>
      </c>
      <c r="Y145" s="6" t="s">
        <v>76</v>
      </c>
      <c r="Z145" s="6" t="s">
        <v>76</v>
      </c>
      <c r="AA145" s="6" t="s">
        <v>76</v>
      </c>
      <c r="AB145" s="6" t="s">
        <v>76</v>
      </c>
      <c r="AC145" s="6" t="s">
        <v>75</v>
      </c>
      <c r="AD145" s="6" t="str">
        <f>_xlfn.TEXTJOIN("/",TRUE,IF(OfertaPlazas[[#This Row],[GITST]]="SI","GITST",""),IF(OfertaPlazas[[#This Row],[GIB]]="SI","GIB",""),IF(OfertaPlazas[[#This Row],[GISD]]="SI","GISD",""),IF(OfertaPlazas[[#This Row],[MASTER]]="SI","MASTER",""))</f>
        <v>MASTER</v>
      </c>
      <c r="AE145" s="6" t="s">
        <v>76</v>
      </c>
      <c r="AF145" s="6" t="s">
        <v>76</v>
      </c>
      <c r="AG145" s="6" t="s">
        <v>76</v>
      </c>
      <c r="AH145" s="6" t="s">
        <v>76</v>
      </c>
      <c r="AI145" s="6" t="s">
        <v>76</v>
      </c>
      <c r="AJ145" s="6" t="s">
        <v>76</v>
      </c>
      <c r="AK145" s="6" t="s">
        <v>76</v>
      </c>
      <c r="AL145" s="6" t="s">
        <v>76</v>
      </c>
      <c r="AM145" s="6" t="s">
        <v>76</v>
      </c>
      <c r="AN145" s="6" t="s">
        <v>76</v>
      </c>
      <c r="AO145" s="6" t="s">
        <v>76</v>
      </c>
      <c r="AP145" s="6" t="s">
        <v>76</v>
      </c>
      <c r="AQ145" s="6" t="s">
        <v>75</v>
      </c>
      <c r="AR145" s="6" t="s">
        <v>76</v>
      </c>
      <c r="AS145" s="27" t="s">
        <v>1562</v>
      </c>
      <c r="AT145" s="301"/>
      <c r="AU145" s="13" t="s">
        <v>1563</v>
      </c>
      <c r="AV145" s="13" t="s">
        <v>1564</v>
      </c>
      <c r="AW145" s="13"/>
      <c r="AX145" s="13"/>
      <c r="AY145" s="13"/>
      <c r="AZ145" s="13"/>
      <c r="BA145" s="71"/>
      <c r="BB145" s="71"/>
      <c r="BC145" s="71"/>
      <c r="BD145" s="71"/>
      <c r="BE145" s="322"/>
      <c r="BF145" s="322"/>
      <c r="BG145" s="289"/>
      <c r="BH145" s="13"/>
      <c r="BL145" s="19" t="e">
        <f>VLOOKUP(E145,#REF!,1,FALSE)</f>
        <v>#REF!</v>
      </c>
    </row>
    <row r="146" spans="1:64" s="19" customFormat="1" ht="20.100000000000001" hidden="1" customHeight="1">
      <c r="A146" s="357">
        <v>145</v>
      </c>
      <c r="B146" s="13" t="s">
        <v>1565</v>
      </c>
      <c r="C146" s="252"/>
      <c r="D146" s="13" t="s">
        <v>1566</v>
      </c>
      <c r="E146" s="6"/>
      <c r="F146" s="6" t="s">
        <v>1406</v>
      </c>
      <c r="G146" s="6"/>
      <c r="H146" s="211"/>
      <c r="I146" s="211"/>
      <c r="J146" s="306"/>
      <c r="K146" s="211"/>
      <c r="L146" s="306"/>
      <c r="M146" s="306"/>
      <c r="N146" s="6" t="s">
        <v>230</v>
      </c>
      <c r="O146" s="54"/>
      <c r="P146" s="54" t="s">
        <v>75</v>
      </c>
      <c r="Q146" s="54" t="s">
        <v>75</v>
      </c>
      <c r="R146" s="54" t="s">
        <v>75</v>
      </c>
      <c r="S146" s="307"/>
      <c r="T146" s="6" t="s">
        <v>1390</v>
      </c>
      <c r="U146" s="36">
        <v>4</v>
      </c>
      <c r="V146" s="36">
        <v>5</v>
      </c>
      <c r="W146" s="36" t="s">
        <v>1567</v>
      </c>
      <c r="X146" s="36" t="s">
        <v>1568</v>
      </c>
      <c r="Y146" s="6" t="s">
        <v>75</v>
      </c>
      <c r="Z146" s="6" t="s">
        <v>75</v>
      </c>
      <c r="AA146" s="6" t="s">
        <v>75</v>
      </c>
      <c r="AB146" s="6" t="s">
        <v>75</v>
      </c>
      <c r="AC146" s="6" t="s">
        <v>75</v>
      </c>
      <c r="AD146" s="6" t="str">
        <f>_xlfn.TEXTJOIN("/",TRUE,IF(OfertaPlazas[[#This Row],[GITST]]="SI","GITST",""),IF(OfertaPlazas[[#This Row],[GIB]]="SI","GIB",""),IF(OfertaPlazas[[#This Row],[GISD]]="SI","GISD",""),IF(OfertaPlazas[[#This Row],[MASTER]]="SI","MASTER",""))</f>
        <v>GITST/GIB/GISD/MASTER</v>
      </c>
      <c r="AE146" s="16" t="s">
        <v>75</v>
      </c>
      <c r="AF146" s="16" t="s">
        <v>75</v>
      </c>
      <c r="AG146" s="6" t="s">
        <v>75</v>
      </c>
      <c r="AH146" s="16" t="s">
        <v>75</v>
      </c>
      <c r="AI146" s="16" t="s">
        <v>75</v>
      </c>
      <c r="AJ146" s="16" t="s">
        <v>75</v>
      </c>
      <c r="AK146" s="16" t="s">
        <v>75</v>
      </c>
      <c r="AL146" s="6" t="s">
        <v>75</v>
      </c>
      <c r="AM146" s="6" t="s">
        <v>76</v>
      </c>
      <c r="AN146" s="16" t="s">
        <v>75</v>
      </c>
      <c r="AO146" s="6" t="s">
        <v>75</v>
      </c>
      <c r="AP146" s="6" t="s">
        <v>75</v>
      </c>
      <c r="AQ146" s="6" t="s">
        <v>75</v>
      </c>
      <c r="AR146" s="6" t="s">
        <v>76</v>
      </c>
      <c r="AS146" s="185" t="s">
        <v>1412</v>
      </c>
      <c r="AT146" s="301"/>
      <c r="AU146" s="72" t="s">
        <v>1569</v>
      </c>
      <c r="AV146" s="71" t="s">
        <v>1570</v>
      </c>
      <c r="AW146" s="71"/>
      <c r="AX146" s="13"/>
      <c r="AY146" s="71"/>
      <c r="AZ146" s="71"/>
      <c r="BA146" s="71"/>
      <c r="BB146" s="71"/>
      <c r="BC146" s="71"/>
      <c r="BD146" s="71"/>
      <c r="BE146" s="322"/>
      <c r="BF146" s="322"/>
      <c r="BG146" s="221"/>
      <c r="BH146" s="13"/>
    </row>
    <row r="147" spans="1:64" s="7" customFormat="1" ht="20.100000000000001" hidden="1" customHeight="1">
      <c r="A147" s="357">
        <v>146</v>
      </c>
      <c r="B147" s="13" t="s">
        <v>1571</v>
      </c>
      <c r="C147" s="252"/>
      <c r="D147" s="63" t="s">
        <v>1572</v>
      </c>
      <c r="E147" s="6"/>
      <c r="F147" s="6" t="s">
        <v>1406</v>
      </c>
      <c r="G147" s="54"/>
      <c r="H147" s="209"/>
      <c r="I147" s="216"/>
      <c r="J147" s="216"/>
      <c r="K147" s="209"/>
      <c r="L147" s="216"/>
      <c r="M147" s="216"/>
      <c r="N147" s="6" t="s">
        <v>1433</v>
      </c>
      <c r="O147" s="6" t="s">
        <v>70</v>
      </c>
      <c r="P147" s="6" t="s">
        <v>70</v>
      </c>
      <c r="Q147" s="6" t="s">
        <v>70</v>
      </c>
      <c r="R147" s="6"/>
      <c r="S147" s="150" t="s">
        <v>1434</v>
      </c>
      <c r="T147" s="54" t="s">
        <v>72</v>
      </c>
      <c r="U147" s="36">
        <v>2</v>
      </c>
      <c r="V147" s="36">
        <v>10</v>
      </c>
      <c r="W147" s="36"/>
      <c r="X147" s="36"/>
      <c r="Y147" s="6" t="s">
        <v>75</v>
      </c>
      <c r="Z147" s="6" t="s">
        <v>75</v>
      </c>
      <c r="AA147" s="6" t="s">
        <v>76</v>
      </c>
      <c r="AB147" s="6" t="s">
        <v>75</v>
      </c>
      <c r="AC147" s="6" t="s">
        <v>76</v>
      </c>
      <c r="AD147" s="6" t="str">
        <f>_xlfn.TEXTJOIN("/",TRUE,IF(OfertaPlazas[[#This Row],[GITST]]="SI","GITST",""),IF(OfertaPlazas[[#This Row],[GIB]]="SI","GIB",""),IF(OfertaPlazas[[#This Row],[GISD]]="SI","GISD",""),IF(OfertaPlazas[[#This Row],[MASTER]]="SI","MASTER",""))</f>
        <v>GITST/GISD</v>
      </c>
      <c r="AE147" s="6" t="s">
        <v>76</v>
      </c>
      <c r="AF147" s="6" t="s">
        <v>76</v>
      </c>
      <c r="AG147" s="6" t="s">
        <v>76</v>
      </c>
      <c r="AH147" s="6" t="s">
        <v>75</v>
      </c>
      <c r="AI147" s="6" t="s">
        <v>75</v>
      </c>
      <c r="AJ147" s="6" t="s">
        <v>75</v>
      </c>
      <c r="AK147" s="6" t="s">
        <v>75</v>
      </c>
      <c r="AL147" s="6" t="s">
        <v>75</v>
      </c>
      <c r="AM147" s="6" t="s">
        <v>75</v>
      </c>
      <c r="AN147" s="6" t="s">
        <v>75</v>
      </c>
      <c r="AO147" s="6" t="s">
        <v>76</v>
      </c>
      <c r="AP147" s="6" t="s">
        <v>76</v>
      </c>
      <c r="AQ147" s="6" t="s">
        <v>76</v>
      </c>
      <c r="AR147" s="6" t="s">
        <v>76</v>
      </c>
      <c r="AS147" s="185" t="s">
        <v>173</v>
      </c>
      <c r="AT147" s="301"/>
      <c r="AU147" s="40" t="s">
        <v>1573</v>
      </c>
      <c r="AV147" s="221" t="s">
        <v>1574</v>
      </c>
      <c r="AW147" s="71"/>
      <c r="AX147" s="71"/>
      <c r="AY147" s="13"/>
      <c r="AZ147" s="13"/>
      <c r="BA147" s="13"/>
      <c r="BB147" s="13"/>
      <c r="BC147" s="13"/>
      <c r="BD147" s="13"/>
      <c r="BE147" s="319"/>
      <c r="BF147" s="319"/>
      <c r="BG147" s="63"/>
      <c r="BH147" s="13"/>
      <c r="BI147" s="19"/>
      <c r="BL147" s="19" t="e">
        <f>VLOOKUP(E147,#REF!,1,FALSE)</f>
        <v>#REF!</v>
      </c>
    </row>
    <row r="148" spans="1:64" s="7" customFormat="1" ht="20.100000000000001" hidden="1" customHeight="1">
      <c r="A148" s="357">
        <v>147</v>
      </c>
      <c r="B148" s="13" t="s">
        <v>1575</v>
      </c>
      <c r="C148" s="252"/>
      <c r="D148" s="63" t="s">
        <v>1576</v>
      </c>
      <c r="E148" s="6"/>
      <c r="F148" s="6" t="s">
        <v>1577</v>
      </c>
      <c r="G148" s="54"/>
      <c r="H148" s="209"/>
      <c r="I148" s="216"/>
      <c r="J148" s="216"/>
      <c r="K148" s="209"/>
      <c r="L148" s="216"/>
      <c r="M148" s="216"/>
      <c r="N148" s="6" t="s">
        <v>1433</v>
      </c>
      <c r="O148" s="6" t="s">
        <v>70</v>
      </c>
      <c r="P148" s="6" t="s">
        <v>70</v>
      </c>
      <c r="Q148" s="6" t="s">
        <v>70</v>
      </c>
      <c r="R148" s="54"/>
      <c r="S148" s="150" t="s">
        <v>1434</v>
      </c>
      <c r="T148" s="54" t="s">
        <v>72</v>
      </c>
      <c r="U148" s="36">
        <v>2</v>
      </c>
      <c r="V148" s="36">
        <v>10</v>
      </c>
      <c r="W148" s="36"/>
      <c r="X148" s="36"/>
      <c r="Y148" s="6" t="s">
        <v>75</v>
      </c>
      <c r="Z148" s="6" t="s">
        <v>75</v>
      </c>
      <c r="AA148" s="6" t="s">
        <v>76</v>
      </c>
      <c r="AB148" s="6" t="s">
        <v>75</v>
      </c>
      <c r="AC148" s="6" t="s">
        <v>76</v>
      </c>
      <c r="AD148" s="6" t="str">
        <f>_xlfn.TEXTJOIN("/",TRUE,IF(OfertaPlazas[[#This Row],[GITST]]="SI","GITST",""),IF(OfertaPlazas[[#This Row],[GIB]]="SI","GIB",""),IF(OfertaPlazas[[#This Row],[GISD]]="SI","GISD",""),IF(OfertaPlazas[[#This Row],[MASTER]]="SI","MASTER",""))</f>
        <v>GITST/GISD</v>
      </c>
      <c r="AE148" s="6" t="s">
        <v>76</v>
      </c>
      <c r="AF148" s="6" t="s">
        <v>76</v>
      </c>
      <c r="AG148" s="6" t="s">
        <v>76</v>
      </c>
      <c r="AH148" s="6" t="s">
        <v>75</v>
      </c>
      <c r="AI148" s="6" t="s">
        <v>75</v>
      </c>
      <c r="AJ148" s="6" t="s">
        <v>76</v>
      </c>
      <c r="AK148" s="6" t="s">
        <v>76</v>
      </c>
      <c r="AL148" s="6" t="s">
        <v>75</v>
      </c>
      <c r="AM148" s="6" t="s">
        <v>76</v>
      </c>
      <c r="AN148" s="6" t="s">
        <v>76</v>
      </c>
      <c r="AO148" s="6" t="s">
        <v>76</v>
      </c>
      <c r="AP148" s="6" t="s">
        <v>76</v>
      </c>
      <c r="AQ148" s="6" t="s">
        <v>76</v>
      </c>
      <c r="AR148" s="6" t="s">
        <v>76</v>
      </c>
      <c r="AS148" s="272" t="s">
        <v>1478</v>
      </c>
      <c r="AT148" s="301"/>
      <c r="AU148" s="40" t="s">
        <v>1578</v>
      </c>
      <c r="AV148" s="221" t="s">
        <v>1579</v>
      </c>
      <c r="AW148" s="71"/>
      <c r="AX148" s="71"/>
      <c r="AY148" s="71"/>
      <c r="AZ148" s="71"/>
      <c r="BA148" s="71"/>
      <c r="BB148" s="71"/>
      <c r="BC148" s="71"/>
      <c r="BD148" s="71"/>
      <c r="BE148" s="322"/>
      <c r="BF148" s="322"/>
      <c r="BG148" s="221"/>
      <c r="BH148" s="71"/>
    </row>
    <row r="149" spans="1:64" s="19" customFormat="1" ht="18.75" hidden="1" customHeight="1">
      <c r="A149" s="357">
        <v>148</v>
      </c>
      <c r="B149" s="13" t="s">
        <v>1580</v>
      </c>
      <c r="C149" s="252"/>
      <c r="D149" s="63" t="s">
        <v>1581</v>
      </c>
      <c r="E149" s="6"/>
      <c r="F149" s="6" t="s">
        <v>1582</v>
      </c>
      <c r="G149" s="54"/>
      <c r="H149" s="209"/>
      <c r="I149" s="216"/>
      <c r="J149" s="216"/>
      <c r="K149" s="209"/>
      <c r="L149" s="216"/>
      <c r="M149" s="216"/>
      <c r="N149" s="6" t="s">
        <v>1433</v>
      </c>
      <c r="O149" s="6" t="s">
        <v>70</v>
      </c>
      <c r="P149" s="6" t="s">
        <v>70</v>
      </c>
      <c r="Q149" s="6" t="s">
        <v>70</v>
      </c>
      <c r="R149" s="54"/>
      <c r="S149" s="150" t="s">
        <v>1434</v>
      </c>
      <c r="T149" s="54" t="s">
        <v>72</v>
      </c>
      <c r="U149" s="36">
        <v>2</v>
      </c>
      <c r="V149" s="36">
        <v>10</v>
      </c>
      <c r="W149" s="36"/>
      <c r="X149" s="36"/>
      <c r="Y149" s="6" t="s">
        <v>75</v>
      </c>
      <c r="Z149" s="6" t="s">
        <v>75</v>
      </c>
      <c r="AA149" s="6" t="s">
        <v>76</v>
      </c>
      <c r="AB149" s="6" t="s">
        <v>75</v>
      </c>
      <c r="AC149" s="6" t="s">
        <v>76</v>
      </c>
      <c r="AD149" s="6" t="str">
        <f>_xlfn.TEXTJOIN("/",TRUE,IF(OfertaPlazas[[#This Row],[GITST]]="SI","GITST",""),IF(OfertaPlazas[[#This Row],[GIB]]="SI","GIB",""),IF(OfertaPlazas[[#This Row],[GISD]]="SI","GISD",""),IF(OfertaPlazas[[#This Row],[MASTER]]="SI","MASTER",""))</f>
        <v>GITST/GISD</v>
      </c>
      <c r="AE149" s="6" t="s">
        <v>76</v>
      </c>
      <c r="AF149" s="6" t="s">
        <v>76</v>
      </c>
      <c r="AG149" s="6" t="s">
        <v>76</v>
      </c>
      <c r="AH149" s="6" t="s">
        <v>75</v>
      </c>
      <c r="AI149" s="6" t="s">
        <v>75</v>
      </c>
      <c r="AJ149" s="6" t="s">
        <v>75</v>
      </c>
      <c r="AK149" s="6" t="s">
        <v>75</v>
      </c>
      <c r="AL149" s="6" t="s">
        <v>75</v>
      </c>
      <c r="AM149" s="6" t="s">
        <v>75</v>
      </c>
      <c r="AN149" s="6" t="s">
        <v>75</v>
      </c>
      <c r="AO149" s="6" t="s">
        <v>76</v>
      </c>
      <c r="AP149" s="6" t="s">
        <v>76</v>
      </c>
      <c r="AQ149" s="6" t="s">
        <v>76</v>
      </c>
      <c r="AR149" s="6" t="s">
        <v>76</v>
      </c>
      <c r="AS149" s="272" t="s">
        <v>1478</v>
      </c>
      <c r="AT149" s="301"/>
      <c r="AU149" s="40" t="s">
        <v>1583</v>
      </c>
      <c r="AV149" s="221" t="s">
        <v>1436</v>
      </c>
      <c r="AW149" s="63" t="s">
        <v>48</v>
      </c>
      <c r="AX149" s="71"/>
      <c r="AY149" s="71"/>
      <c r="AZ149" s="71"/>
      <c r="BA149" s="71"/>
      <c r="BB149" s="71"/>
      <c r="BC149" s="71"/>
      <c r="BD149" s="71"/>
      <c r="BE149" s="319"/>
      <c r="BF149" s="319"/>
      <c r="BG149" s="63"/>
      <c r="BH149" s="71"/>
      <c r="BI149" s="7"/>
    </row>
    <row r="150" spans="1:64" s="7" customFormat="1" ht="20.100000000000001" hidden="1" customHeight="1">
      <c r="A150" s="357">
        <v>149</v>
      </c>
      <c r="B150" s="13" t="s">
        <v>1584</v>
      </c>
      <c r="C150" s="252"/>
      <c r="D150" s="244" t="s">
        <v>1581</v>
      </c>
      <c r="E150" s="6"/>
      <c r="F150" s="16" t="s">
        <v>1582</v>
      </c>
      <c r="G150" s="180"/>
      <c r="H150" s="214" t="s">
        <v>1585</v>
      </c>
      <c r="I150" s="222" t="s">
        <v>616</v>
      </c>
      <c r="J150" s="222" t="s">
        <v>664</v>
      </c>
      <c r="K150" s="214" t="s">
        <v>170</v>
      </c>
      <c r="L150" s="222" t="s">
        <v>106</v>
      </c>
      <c r="M150" s="222" t="s">
        <v>106</v>
      </c>
      <c r="N150" s="16" t="s">
        <v>1433</v>
      </c>
      <c r="O150" s="6" t="s">
        <v>70</v>
      </c>
      <c r="P150" s="6" t="s">
        <v>70</v>
      </c>
      <c r="Q150" s="6" t="s">
        <v>70</v>
      </c>
      <c r="R150" s="6" t="s">
        <v>70</v>
      </c>
      <c r="S150" s="150" t="s">
        <v>1476</v>
      </c>
      <c r="T150" s="54" t="s">
        <v>72</v>
      </c>
      <c r="U150" s="36">
        <v>2</v>
      </c>
      <c r="V150" s="36">
        <v>10</v>
      </c>
      <c r="W150" s="36" t="s">
        <v>1586</v>
      </c>
      <c r="X150" s="36"/>
      <c r="Y150" s="6" t="s">
        <v>75</v>
      </c>
      <c r="Z150" s="6" t="s">
        <v>75</v>
      </c>
      <c r="AA150" s="6" t="s">
        <v>75</v>
      </c>
      <c r="AB150" s="6" t="s">
        <v>75</v>
      </c>
      <c r="AC150" s="6" t="s">
        <v>76</v>
      </c>
      <c r="AD150" s="6" t="str">
        <f>_xlfn.TEXTJOIN("/",TRUE,IF(OfertaPlazas[[#This Row],[GITST]]="SI","GITST",""),IF(OfertaPlazas[[#This Row],[GIB]]="SI","GIB",""),IF(OfertaPlazas[[#This Row],[GISD]]="SI","GISD",""),IF(OfertaPlazas[[#This Row],[MASTER]]="SI","MASTER",""))</f>
        <v>GITST/GIB/GISD</v>
      </c>
      <c r="AE150" s="6" t="s">
        <v>76</v>
      </c>
      <c r="AF150" s="6" t="s">
        <v>76</v>
      </c>
      <c r="AG150" s="6" t="s">
        <v>76</v>
      </c>
      <c r="AH150" s="6" t="s">
        <v>75</v>
      </c>
      <c r="AI150" s="6" t="s">
        <v>75</v>
      </c>
      <c r="AJ150" s="6" t="s">
        <v>75</v>
      </c>
      <c r="AK150" s="6" t="s">
        <v>75</v>
      </c>
      <c r="AL150" s="6" t="s">
        <v>75</v>
      </c>
      <c r="AM150" s="6" t="s">
        <v>75</v>
      </c>
      <c r="AN150" s="6" t="s">
        <v>75</v>
      </c>
      <c r="AO150" s="6" t="s">
        <v>76</v>
      </c>
      <c r="AP150" s="6" t="s">
        <v>76</v>
      </c>
      <c r="AQ150" s="6" t="s">
        <v>76</v>
      </c>
      <c r="AR150" s="6" t="s">
        <v>76</v>
      </c>
      <c r="AS150" s="272" t="s">
        <v>1478</v>
      </c>
      <c r="AT150" s="301"/>
      <c r="AU150" s="71" t="s">
        <v>1578</v>
      </c>
      <c r="AV150" s="71" t="s">
        <v>1556</v>
      </c>
      <c r="AW150" s="40"/>
      <c r="AX150" s="13"/>
      <c r="AY150" s="5"/>
      <c r="AZ150" s="5"/>
      <c r="BA150" s="5"/>
      <c r="BB150" s="5"/>
      <c r="BC150" s="5"/>
      <c r="BD150" s="5"/>
      <c r="BE150" s="321"/>
      <c r="BF150" s="321"/>
      <c r="BG150" s="221"/>
      <c r="BH150" s="54"/>
      <c r="BI150" s="1"/>
    </row>
    <row r="151" spans="1:64" s="7" customFormat="1" ht="20.100000000000001" hidden="1" customHeight="1">
      <c r="A151" s="357">
        <v>150</v>
      </c>
      <c r="B151" s="72" t="s">
        <v>1587</v>
      </c>
      <c r="C151" s="252"/>
      <c r="D151" s="63" t="s">
        <v>1515</v>
      </c>
      <c r="E151" s="6"/>
      <c r="F151" s="6" t="s">
        <v>1504</v>
      </c>
      <c r="G151" s="54"/>
      <c r="H151" s="209" t="s">
        <v>1588</v>
      </c>
      <c r="I151" s="216" t="s">
        <v>139</v>
      </c>
      <c r="J151" s="216" t="s">
        <v>139</v>
      </c>
      <c r="K151" s="209"/>
      <c r="L151" s="216" t="s">
        <v>139</v>
      </c>
      <c r="M151" s="216"/>
      <c r="N151" s="6" t="s">
        <v>1433</v>
      </c>
      <c r="O151" s="54" t="s">
        <v>70</v>
      </c>
      <c r="P151" s="54" t="s">
        <v>70</v>
      </c>
      <c r="Q151" s="54" t="s">
        <v>70</v>
      </c>
      <c r="R151" s="54" t="s">
        <v>70</v>
      </c>
      <c r="S151" s="150" t="s">
        <v>1476</v>
      </c>
      <c r="T151" s="54" t="s">
        <v>72</v>
      </c>
      <c r="U151" s="36">
        <v>3</v>
      </c>
      <c r="V151" s="36">
        <v>10</v>
      </c>
      <c r="W151" s="36"/>
      <c r="X151" s="36"/>
      <c r="Y151" s="6" t="s">
        <v>75</v>
      </c>
      <c r="Z151" s="6" t="s">
        <v>75</v>
      </c>
      <c r="AA151" s="6" t="s">
        <v>76</v>
      </c>
      <c r="AB151" s="6" t="s">
        <v>75</v>
      </c>
      <c r="AC151" s="6" t="s">
        <v>76</v>
      </c>
      <c r="AD151" s="6" t="str">
        <f>_xlfn.TEXTJOIN("/",TRUE,IF(OfertaPlazas[[#This Row],[GITST]]="SI","GITST",""),IF(OfertaPlazas[[#This Row],[GIB]]="SI","GIB",""),IF(OfertaPlazas[[#This Row],[GISD]]="SI","GISD",""),IF(OfertaPlazas[[#This Row],[MASTER]]="SI","MASTER",""))</f>
        <v>GITST/GISD</v>
      </c>
      <c r="AE151" s="6" t="s">
        <v>76</v>
      </c>
      <c r="AF151" s="6" t="s">
        <v>76</v>
      </c>
      <c r="AG151" s="6" t="s">
        <v>76</v>
      </c>
      <c r="AH151" s="6" t="s">
        <v>75</v>
      </c>
      <c r="AI151" s="6" t="s">
        <v>75</v>
      </c>
      <c r="AJ151" s="6" t="s">
        <v>75</v>
      </c>
      <c r="AK151" s="6" t="s">
        <v>75</v>
      </c>
      <c r="AL151" s="6" t="s">
        <v>75</v>
      </c>
      <c r="AM151" s="6" t="s">
        <v>75</v>
      </c>
      <c r="AN151" s="6" t="s">
        <v>75</v>
      </c>
      <c r="AO151" s="6" t="s">
        <v>76</v>
      </c>
      <c r="AP151" s="6" t="s">
        <v>76</v>
      </c>
      <c r="AQ151" s="6" t="s">
        <v>76</v>
      </c>
      <c r="AR151" s="6" t="s">
        <v>76</v>
      </c>
      <c r="AS151" s="272" t="s">
        <v>1478</v>
      </c>
      <c r="AT151" s="301"/>
      <c r="AU151" s="40" t="s">
        <v>1589</v>
      </c>
      <c r="AV151" s="71" t="s">
        <v>1556</v>
      </c>
      <c r="AW151" s="71"/>
      <c r="AX151" s="71"/>
      <c r="AY151" s="71"/>
      <c r="AZ151" s="71"/>
      <c r="BA151" s="71"/>
      <c r="BB151" s="71"/>
      <c r="BC151" s="71"/>
      <c r="BD151" s="71"/>
      <c r="BE151" s="322"/>
      <c r="BF151" s="322"/>
      <c r="BG151" s="221"/>
      <c r="BH151" s="13"/>
      <c r="BI151" s="19"/>
      <c r="BL151" s="19" t="e">
        <f t="shared" ref="BL151:BL163" si="4">VLOOKUP(E151,#REF!,1,FALSE)</f>
        <v>#REF!</v>
      </c>
    </row>
    <row r="152" spans="1:64" s="19" customFormat="1" ht="20.100000000000001" hidden="1" customHeight="1">
      <c r="A152" s="357">
        <v>151</v>
      </c>
      <c r="B152" s="13" t="s">
        <v>1590</v>
      </c>
      <c r="C152" s="252"/>
      <c r="D152" s="244" t="s">
        <v>1591</v>
      </c>
      <c r="E152" s="6"/>
      <c r="F152" s="16" t="s">
        <v>1592</v>
      </c>
      <c r="G152" s="54"/>
      <c r="H152" s="214"/>
      <c r="I152" s="222"/>
      <c r="J152" s="222"/>
      <c r="K152" s="214"/>
      <c r="L152" s="222"/>
      <c r="M152" s="222"/>
      <c r="N152" s="6" t="s">
        <v>230</v>
      </c>
      <c r="O152" s="54"/>
      <c r="P152" s="54"/>
      <c r="Q152" s="54"/>
      <c r="R152" s="54"/>
      <c r="S152" s="63"/>
      <c r="T152" s="6" t="s">
        <v>72</v>
      </c>
      <c r="U152" s="36">
        <v>1</v>
      </c>
      <c r="V152" s="36">
        <v>6</v>
      </c>
      <c r="W152" s="36" t="s">
        <v>1593</v>
      </c>
      <c r="X152" s="36" t="s">
        <v>1594</v>
      </c>
      <c r="Y152" s="6" t="s">
        <v>75</v>
      </c>
      <c r="Z152" s="6" t="s">
        <v>75</v>
      </c>
      <c r="AA152" s="6" t="s">
        <v>76</v>
      </c>
      <c r="AB152" s="6" t="s">
        <v>76</v>
      </c>
      <c r="AC152" s="6" t="s">
        <v>75</v>
      </c>
      <c r="AD152" s="6" t="str">
        <f>_xlfn.TEXTJOIN("/",TRUE,IF(OfertaPlazas[[#This Row],[GITST]]="SI","GITST",""),IF(OfertaPlazas[[#This Row],[GIB]]="SI","GIB",""),IF(OfertaPlazas[[#This Row],[GISD]]="SI","GISD",""),IF(OfertaPlazas[[#This Row],[MASTER]]="SI","MASTER",""))</f>
        <v>GITST/MASTER</v>
      </c>
      <c r="AE152" s="6" t="s">
        <v>76</v>
      </c>
      <c r="AF152" s="6" t="s">
        <v>76</v>
      </c>
      <c r="AG152" s="6" t="s">
        <v>76</v>
      </c>
      <c r="AH152" s="6" t="s">
        <v>75</v>
      </c>
      <c r="AI152" s="6" t="s">
        <v>75</v>
      </c>
      <c r="AJ152" s="6" t="s">
        <v>75</v>
      </c>
      <c r="AK152" s="6" t="s">
        <v>75</v>
      </c>
      <c r="AL152" s="6" t="s">
        <v>76</v>
      </c>
      <c r="AM152" s="6" t="s">
        <v>76</v>
      </c>
      <c r="AN152" s="6" t="s">
        <v>75</v>
      </c>
      <c r="AO152" s="6" t="s">
        <v>75</v>
      </c>
      <c r="AP152" s="6" t="s">
        <v>76</v>
      </c>
      <c r="AQ152" s="6" t="s">
        <v>75</v>
      </c>
      <c r="AR152" s="6" t="s">
        <v>76</v>
      </c>
      <c r="AS152" s="27" t="s">
        <v>173</v>
      </c>
      <c r="AT152" s="301"/>
      <c r="AU152" s="13" t="s">
        <v>1595</v>
      </c>
      <c r="AV152" s="13"/>
      <c r="AW152" s="13"/>
      <c r="AX152" s="13"/>
      <c r="AY152" s="13"/>
      <c r="AZ152" s="13"/>
      <c r="BA152" s="13"/>
      <c r="BB152" s="13"/>
      <c r="BC152" s="13"/>
      <c r="BD152" s="13"/>
      <c r="BE152" s="322"/>
      <c r="BF152" s="322"/>
      <c r="BG152" s="221"/>
      <c r="BH152" s="13"/>
      <c r="BL152" s="19" t="e">
        <f t="shared" si="4"/>
        <v>#REF!</v>
      </c>
    </row>
    <row r="153" spans="1:64" s="19" customFormat="1" ht="20.100000000000001" hidden="1" customHeight="1">
      <c r="A153" s="357">
        <v>152</v>
      </c>
      <c r="B153" s="13" t="s">
        <v>1596</v>
      </c>
      <c r="C153" s="252"/>
      <c r="D153" s="244" t="s">
        <v>1597</v>
      </c>
      <c r="E153" s="6"/>
      <c r="F153" s="16" t="s">
        <v>1592</v>
      </c>
      <c r="G153" s="54"/>
      <c r="H153" s="214"/>
      <c r="I153" s="222"/>
      <c r="J153" s="222"/>
      <c r="K153" s="214"/>
      <c r="L153" s="222"/>
      <c r="M153" s="222"/>
      <c r="N153" s="6" t="s">
        <v>230</v>
      </c>
      <c r="O153" s="54"/>
      <c r="P153" s="54"/>
      <c r="Q153" s="54"/>
      <c r="R153" s="54"/>
      <c r="S153" s="63"/>
      <c r="T153" s="54" t="s">
        <v>72</v>
      </c>
      <c r="U153" s="36">
        <v>2</v>
      </c>
      <c r="V153" s="36">
        <v>6</v>
      </c>
      <c r="W153" s="36" t="s">
        <v>1593</v>
      </c>
      <c r="X153" s="36" t="s">
        <v>1594</v>
      </c>
      <c r="Y153" s="6" t="s">
        <v>75</v>
      </c>
      <c r="Z153" s="6" t="s">
        <v>75</v>
      </c>
      <c r="AA153" s="6" t="s">
        <v>76</v>
      </c>
      <c r="AB153" s="6" t="s">
        <v>75</v>
      </c>
      <c r="AC153" s="6" t="s">
        <v>75</v>
      </c>
      <c r="AD153" s="6" t="str">
        <f>_xlfn.TEXTJOIN("/",TRUE,IF(OfertaPlazas[[#This Row],[GITST]]="SI","GITST",""),IF(OfertaPlazas[[#This Row],[GIB]]="SI","GIB",""),IF(OfertaPlazas[[#This Row],[GISD]]="SI","GISD",""),IF(OfertaPlazas[[#This Row],[MASTER]]="SI","MASTER",""))</f>
        <v>GITST/GISD/MASTER</v>
      </c>
      <c r="AE153" s="6" t="s">
        <v>75</v>
      </c>
      <c r="AF153" s="6" t="s">
        <v>75</v>
      </c>
      <c r="AG153" s="6" t="s">
        <v>76</v>
      </c>
      <c r="AH153" s="6" t="s">
        <v>75</v>
      </c>
      <c r="AI153" s="6" t="s">
        <v>75</v>
      </c>
      <c r="AJ153" s="6" t="s">
        <v>75</v>
      </c>
      <c r="AK153" s="6" t="s">
        <v>75</v>
      </c>
      <c r="AL153" s="6" t="s">
        <v>76</v>
      </c>
      <c r="AM153" s="6" t="s">
        <v>76</v>
      </c>
      <c r="AN153" s="6" t="s">
        <v>75</v>
      </c>
      <c r="AO153" s="6" t="s">
        <v>75</v>
      </c>
      <c r="AP153" s="6" t="s">
        <v>76</v>
      </c>
      <c r="AQ153" s="6" t="s">
        <v>75</v>
      </c>
      <c r="AR153" s="6" t="s">
        <v>76</v>
      </c>
      <c r="AS153" s="27" t="s">
        <v>173</v>
      </c>
      <c r="AT153" s="301"/>
      <c r="AU153" s="13" t="s">
        <v>1598</v>
      </c>
      <c r="AV153" s="71"/>
      <c r="AW153" s="71"/>
      <c r="AX153" s="71"/>
      <c r="AY153" s="71"/>
      <c r="AZ153" s="71"/>
      <c r="BA153" s="71"/>
      <c r="BB153" s="71"/>
      <c r="BC153" s="71"/>
      <c r="BD153" s="71"/>
      <c r="BE153" s="322"/>
      <c r="BF153" s="322"/>
      <c r="BG153" s="221"/>
      <c r="BH153" s="13"/>
      <c r="BL153" s="19" t="e">
        <f t="shared" si="4"/>
        <v>#REF!</v>
      </c>
    </row>
    <row r="154" spans="1:64" s="7" customFormat="1" ht="20.100000000000001" hidden="1" customHeight="1">
      <c r="A154" s="357">
        <v>153</v>
      </c>
      <c r="B154" s="13" t="s">
        <v>1599</v>
      </c>
      <c r="C154" s="252"/>
      <c r="D154" s="244" t="s">
        <v>1591</v>
      </c>
      <c r="E154" s="6"/>
      <c r="F154" s="16" t="s">
        <v>1592</v>
      </c>
      <c r="G154" s="54"/>
      <c r="H154" s="214"/>
      <c r="I154" s="222"/>
      <c r="J154" s="222"/>
      <c r="K154" s="214"/>
      <c r="L154" s="222"/>
      <c r="M154" s="222"/>
      <c r="N154" s="6" t="s">
        <v>230</v>
      </c>
      <c r="O154" s="54"/>
      <c r="P154" s="54"/>
      <c r="Q154" s="54"/>
      <c r="R154" s="54"/>
      <c r="S154" s="63"/>
      <c r="T154" s="6" t="s">
        <v>72</v>
      </c>
      <c r="U154" s="36">
        <v>1</v>
      </c>
      <c r="V154" s="36">
        <v>6</v>
      </c>
      <c r="W154" s="36" t="s">
        <v>1593</v>
      </c>
      <c r="X154" s="36" t="s">
        <v>1594</v>
      </c>
      <c r="Y154" s="6" t="s">
        <v>75</v>
      </c>
      <c r="Z154" s="6" t="s">
        <v>75</v>
      </c>
      <c r="AA154" s="6" t="s">
        <v>75</v>
      </c>
      <c r="AB154" s="6" t="s">
        <v>75</v>
      </c>
      <c r="AC154" s="6" t="s">
        <v>75</v>
      </c>
      <c r="AD154" s="6" t="str">
        <f>_xlfn.TEXTJOIN("/",TRUE,IF(OfertaPlazas[[#This Row],[GITST]]="SI","GITST",""),IF(OfertaPlazas[[#This Row],[GIB]]="SI","GIB",""),IF(OfertaPlazas[[#This Row],[GISD]]="SI","GISD",""),IF(OfertaPlazas[[#This Row],[MASTER]]="SI","MASTER",""))</f>
        <v>GITST/GIB/GISD/MASTER</v>
      </c>
      <c r="AE154" s="6" t="s">
        <v>76</v>
      </c>
      <c r="AF154" s="6" t="s">
        <v>76</v>
      </c>
      <c r="AG154" s="6" t="s">
        <v>76</v>
      </c>
      <c r="AH154" s="6" t="s">
        <v>75</v>
      </c>
      <c r="AI154" s="6" t="s">
        <v>75</v>
      </c>
      <c r="AJ154" s="6" t="s">
        <v>75</v>
      </c>
      <c r="AK154" s="6" t="s">
        <v>75</v>
      </c>
      <c r="AL154" s="6" t="s">
        <v>76</v>
      </c>
      <c r="AM154" s="6" t="s">
        <v>76</v>
      </c>
      <c r="AN154" s="6" t="s">
        <v>75</v>
      </c>
      <c r="AO154" s="6" t="s">
        <v>75</v>
      </c>
      <c r="AP154" s="6" t="s">
        <v>76</v>
      </c>
      <c r="AQ154" s="6" t="s">
        <v>75</v>
      </c>
      <c r="AR154" s="6" t="s">
        <v>76</v>
      </c>
      <c r="AS154" s="27" t="s">
        <v>173</v>
      </c>
      <c r="AT154" s="301"/>
      <c r="AU154" s="13" t="s">
        <v>1600</v>
      </c>
      <c r="AV154" s="40"/>
      <c r="AW154" s="40"/>
      <c r="AX154" s="13"/>
      <c r="AY154" s="71"/>
      <c r="AZ154" s="71"/>
      <c r="BA154" s="71"/>
      <c r="BB154" s="71"/>
      <c r="BC154" s="71"/>
      <c r="BD154" s="71"/>
      <c r="BE154" s="322"/>
      <c r="BF154" s="322"/>
      <c r="BG154" s="221"/>
      <c r="BH154" s="13"/>
      <c r="BI154" s="19"/>
      <c r="BL154" s="19" t="e">
        <f t="shared" si="4"/>
        <v>#REF!</v>
      </c>
    </row>
    <row r="155" spans="1:64" s="7" customFormat="1" ht="20.100000000000001" hidden="1" customHeight="1">
      <c r="A155" s="357">
        <v>154</v>
      </c>
      <c r="B155" s="13" t="s">
        <v>1601</v>
      </c>
      <c r="C155" s="252"/>
      <c r="D155" s="244" t="s">
        <v>1602</v>
      </c>
      <c r="E155" s="6"/>
      <c r="F155" s="16" t="s">
        <v>1592</v>
      </c>
      <c r="G155" s="6"/>
      <c r="H155" s="214"/>
      <c r="I155" s="222"/>
      <c r="J155" s="222"/>
      <c r="K155" s="214"/>
      <c r="L155" s="222"/>
      <c r="M155" s="222"/>
      <c r="N155" s="6" t="s">
        <v>230</v>
      </c>
      <c r="O155" s="54"/>
      <c r="P155" s="54"/>
      <c r="Q155" s="54"/>
      <c r="R155" s="54"/>
      <c r="S155" s="63"/>
      <c r="T155" s="54" t="s">
        <v>72</v>
      </c>
      <c r="U155" s="36">
        <v>1</v>
      </c>
      <c r="V155" s="36">
        <v>6</v>
      </c>
      <c r="W155" s="36" t="s">
        <v>1593</v>
      </c>
      <c r="X155" s="36" t="s">
        <v>1594</v>
      </c>
      <c r="Y155" s="6" t="s">
        <v>75</v>
      </c>
      <c r="Z155" s="6" t="s">
        <v>75</v>
      </c>
      <c r="AA155" s="6" t="s">
        <v>75</v>
      </c>
      <c r="AB155" s="6" t="s">
        <v>75</v>
      </c>
      <c r="AC155" s="6" t="s">
        <v>75</v>
      </c>
      <c r="AD155" s="6" t="str">
        <f>_xlfn.TEXTJOIN("/",TRUE,IF(OfertaPlazas[[#This Row],[GITST]]="SI","GITST",""),IF(OfertaPlazas[[#This Row],[GIB]]="SI","GIB",""),IF(OfertaPlazas[[#This Row],[GISD]]="SI","GISD",""),IF(OfertaPlazas[[#This Row],[MASTER]]="SI","MASTER",""))</f>
        <v>GITST/GIB/GISD/MASTER</v>
      </c>
      <c r="AE155" s="6" t="s">
        <v>76</v>
      </c>
      <c r="AF155" s="6" t="s">
        <v>76</v>
      </c>
      <c r="AG155" s="6" t="s">
        <v>76</v>
      </c>
      <c r="AH155" s="6" t="s">
        <v>75</v>
      </c>
      <c r="AI155" s="6" t="s">
        <v>75</v>
      </c>
      <c r="AJ155" s="6" t="s">
        <v>75</v>
      </c>
      <c r="AK155" s="6" t="s">
        <v>75</v>
      </c>
      <c r="AL155" s="6" t="s">
        <v>76</v>
      </c>
      <c r="AM155" s="6" t="s">
        <v>76</v>
      </c>
      <c r="AN155" s="6" t="s">
        <v>75</v>
      </c>
      <c r="AO155" s="6" t="s">
        <v>75</v>
      </c>
      <c r="AP155" s="6" t="s">
        <v>76</v>
      </c>
      <c r="AQ155" s="6" t="s">
        <v>75</v>
      </c>
      <c r="AR155" s="6" t="s">
        <v>76</v>
      </c>
      <c r="AS155" s="27" t="s">
        <v>173</v>
      </c>
      <c r="AT155" s="301"/>
      <c r="AU155" s="13" t="s">
        <v>1603</v>
      </c>
      <c r="AV155" s="71"/>
      <c r="AW155" s="71"/>
      <c r="AX155" s="71"/>
      <c r="AY155" s="71"/>
      <c r="AZ155" s="71"/>
      <c r="BA155" s="71"/>
      <c r="BB155" s="71"/>
      <c r="BC155" s="71"/>
      <c r="BD155" s="71"/>
      <c r="BE155" s="322"/>
      <c r="BF155" s="322"/>
      <c r="BG155" s="221"/>
      <c r="BH155" s="13"/>
      <c r="BI155" s="19"/>
      <c r="BL155" s="19" t="e">
        <f t="shared" si="4"/>
        <v>#REF!</v>
      </c>
    </row>
    <row r="156" spans="1:64" s="7" customFormat="1" ht="20.100000000000001" hidden="1" customHeight="1">
      <c r="A156" s="357">
        <v>155</v>
      </c>
      <c r="B156" s="13" t="s">
        <v>1604</v>
      </c>
      <c r="C156" s="252"/>
      <c r="D156" s="63" t="s">
        <v>1605</v>
      </c>
      <c r="E156" s="13"/>
      <c r="F156" s="6" t="s">
        <v>1592</v>
      </c>
      <c r="G156" s="26"/>
      <c r="H156" s="209"/>
      <c r="I156" s="216"/>
      <c r="J156" s="216"/>
      <c r="K156" s="209"/>
      <c r="L156" s="216"/>
      <c r="M156" s="216"/>
      <c r="N156" s="6" t="s">
        <v>230</v>
      </c>
      <c r="O156" s="54"/>
      <c r="P156" s="54"/>
      <c r="Q156" s="54"/>
      <c r="R156" s="54"/>
      <c r="S156" s="63"/>
      <c r="T156" s="54" t="s">
        <v>72</v>
      </c>
      <c r="U156" s="36">
        <v>1</v>
      </c>
      <c r="V156" s="36">
        <v>6</v>
      </c>
      <c r="W156" s="36" t="s">
        <v>1593</v>
      </c>
      <c r="X156" s="36" t="s">
        <v>1594</v>
      </c>
      <c r="Y156" s="6" t="s">
        <v>75</v>
      </c>
      <c r="Z156" s="6" t="s">
        <v>75</v>
      </c>
      <c r="AA156" s="6" t="s">
        <v>76</v>
      </c>
      <c r="AB156" s="6" t="s">
        <v>76</v>
      </c>
      <c r="AC156" s="6" t="s">
        <v>75</v>
      </c>
      <c r="AD156" s="6" t="str">
        <f>_xlfn.TEXTJOIN("/",TRUE,IF(OfertaPlazas[[#This Row],[GITST]]="SI","GITST",""),IF(OfertaPlazas[[#This Row],[GIB]]="SI","GIB",""),IF(OfertaPlazas[[#This Row],[GISD]]="SI","GISD",""),IF(OfertaPlazas[[#This Row],[MASTER]]="SI","MASTER",""))</f>
        <v>GITST/MASTER</v>
      </c>
      <c r="AE156" s="6" t="s">
        <v>76</v>
      </c>
      <c r="AF156" s="6" t="s">
        <v>76</v>
      </c>
      <c r="AG156" s="6" t="s">
        <v>76</v>
      </c>
      <c r="AH156" s="6" t="s">
        <v>75</v>
      </c>
      <c r="AI156" s="6" t="s">
        <v>75</v>
      </c>
      <c r="AJ156" s="6" t="s">
        <v>75</v>
      </c>
      <c r="AK156" s="6" t="s">
        <v>75</v>
      </c>
      <c r="AL156" s="6" t="s">
        <v>76</v>
      </c>
      <c r="AM156" s="6" t="s">
        <v>76</v>
      </c>
      <c r="AN156" s="6" t="s">
        <v>75</v>
      </c>
      <c r="AO156" s="6" t="s">
        <v>75</v>
      </c>
      <c r="AP156" s="6" t="s">
        <v>76</v>
      </c>
      <c r="AQ156" s="6" t="s">
        <v>75</v>
      </c>
      <c r="AR156" s="6" t="s">
        <v>76</v>
      </c>
      <c r="AS156" s="27" t="s">
        <v>173</v>
      </c>
      <c r="AT156" s="301"/>
      <c r="AU156" s="13" t="s">
        <v>1606</v>
      </c>
      <c r="AV156" s="221"/>
      <c r="AW156" s="221"/>
      <c r="AX156" s="54"/>
      <c r="AY156" s="72"/>
      <c r="AZ156" s="72"/>
      <c r="BA156" s="72"/>
      <c r="BB156" s="72"/>
      <c r="BC156" s="72"/>
      <c r="BD156" s="72"/>
      <c r="BE156" s="322"/>
      <c r="BF156" s="322"/>
      <c r="BG156" s="221"/>
      <c r="BH156" s="13"/>
      <c r="BI156" s="19"/>
      <c r="BL156" s="19" t="e">
        <f t="shared" si="4"/>
        <v>#REF!</v>
      </c>
    </row>
    <row r="157" spans="1:64" s="7" customFormat="1" ht="20.100000000000001" hidden="1" customHeight="1">
      <c r="A157" s="357">
        <v>156</v>
      </c>
      <c r="B157" s="13" t="s">
        <v>1607</v>
      </c>
      <c r="C157" s="252"/>
      <c r="D157" s="63" t="s">
        <v>1591</v>
      </c>
      <c r="E157" s="13"/>
      <c r="F157" s="6" t="s">
        <v>1592</v>
      </c>
      <c r="G157" s="26"/>
      <c r="H157" s="209"/>
      <c r="I157" s="216"/>
      <c r="J157" s="216"/>
      <c r="K157" s="209"/>
      <c r="L157" s="216"/>
      <c r="M157" s="216"/>
      <c r="N157" s="6" t="s">
        <v>230</v>
      </c>
      <c r="O157" s="54"/>
      <c r="P157" s="54"/>
      <c r="Q157" s="54"/>
      <c r="R157" s="54"/>
      <c r="S157" s="63"/>
      <c r="T157" s="54" t="s">
        <v>72</v>
      </c>
      <c r="U157" s="36">
        <v>1</v>
      </c>
      <c r="V157" s="36">
        <v>6</v>
      </c>
      <c r="W157" s="36" t="s">
        <v>1593</v>
      </c>
      <c r="X157" s="36" t="s">
        <v>1594</v>
      </c>
      <c r="Y157" s="6" t="s">
        <v>75</v>
      </c>
      <c r="Z157" s="6" t="s">
        <v>75</v>
      </c>
      <c r="AA157" s="6" t="s">
        <v>76</v>
      </c>
      <c r="AB157" s="6" t="s">
        <v>76</v>
      </c>
      <c r="AC157" s="6" t="s">
        <v>75</v>
      </c>
      <c r="AD157" s="6" t="str">
        <f>_xlfn.TEXTJOIN("/",TRUE,IF(OfertaPlazas[[#This Row],[GITST]]="SI","GITST",""),IF(OfertaPlazas[[#This Row],[GIB]]="SI","GIB",""),IF(OfertaPlazas[[#This Row],[GISD]]="SI","GISD",""),IF(OfertaPlazas[[#This Row],[MASTER]]="SI","MASTER",""))</f>
        <v>GITST/MASTER</v>
      </c>
      <c r="AE157" s="6" t="s">
        <v>76</v>
      </c>
      <c r="AF157" s="6" t="s">
        <v>76</v>
      </c>
      <c r="AG157" s="6" t="s">
        <v>76</v>
      </c>
      <c r="AH157" s="6" t="s">
        <v>75</v>
      </c>
      <c r="AI157" s="6" t="s">
        <v>75</v>
      </c>
      <c r="AJ157" s="6" t="s">
        <v>75</v>
      </c>
      <c r="AK157" s="6" t="s">
        <v>75</v>
      </c>
      <c r="AL157" s="6" t="s">
        <v>76</v>
      </c>
      <c r="AM157" s="6" t="s">
        <v>76</v>
      </c>
      <c r="AN157" s="6" t="s">
        <v>75</v>
      </c>
      <c r="AO157" s="6" t="s">
        <v>75</v>
      </c>
      <c r="AP157" s="6" t="s">
        <v>76</v>
      </c>
      <c r="AQ157" s="6" t="s">
        <v>75</v>
      </c>
      <c r="AR157" s="6" t="s">
        <v>76</v>
      </c>
      <c r="AS157" s="27" t="s">
        <v>173</v>
      </c>
      <c r="AT157" s="301"/>
      <c r="AU157" s="13" t="s">
        <v>1606</v>
      </c>
      <c r="AV157" s="221"/>
      <c r="AW157" s="221"/>
      <c r="AX157" s="54"/>
      <c r="AY157" s="72"/>
      <c r="AZ157" s="72"/>
      <c r="BA157" s="72"/>
      <c r="BB157" s="72"/>
      <c r="BC157" s="72"/>
      <c r="BD157" s="72"/>
      <c r="BE157" s="322"/>
      <c r="BF157" s="322"/>
      <c r="BG157" s="221"/>
      <c r="BH157" s="13"/>
      <c r="BI157" s="19"/>
      <c r="BL157" s="19" t="e">
        <f t="shared" si="4"/>
        <v>#REF!</v>
      </c>
    </row>
    <row r="158" spans="1:64" s="69" customFormat="1" ht="20.100000000000001" hidden="1" customHeight="1">
      <c r="A158" s="357">
        <v>157</v>
      </c>
      <c r="B158" s="13" t="s">
        <v>1608</v>
      </c>
      <c r="C158" s="252"/>
      <c r="D158" s="13" t="s">
        <v>1609</v>
      </c>
      <c r="E158" s="13"/>
      <c r="F158" s="6" t="s">
        <v>1592</v>
      </c>
      <c r="G158" s="26"/>
      <c r="H158" s="209"/>
      <c r="I158" s="216"/>
      <c r="J158" s="216"/>
      <c r="K158" s="209"/>
      <c r="L158" s="216"/>
      <c r="M158" s="216"/>
      <c r="N158" s="6" t="s">
        <v>230</v>
      </c>
      <c r="O158" s="54"/>
      <c r="P158" s="54"/>
      <c r="Q158" s="54"/>
      <c r="R158" s="54"/>
      <c r="S158" s="63"/>
      <c r="T158" s="54" t="s">
        <v>72</v>
      </c>
      <c r="U158" s="36">
        <v>1</v>
      </c>
      <c r="V158" s="36">
        <v>6</v>
      </c>
      <c r="W158" s="36" t="s">
        <v>1593</v>
      </c>
      <c r="X158" s="36" t="s">
        <v>1594</v>
      </c>
      <c r="Y158" s="6" t="s">
        <v>75</v>
      </c>
      <c r="Z158" s="6" t="s">
        <v>75</v>
      </c>
      <c r="AA158" s="6" t="s">
        <v>76</v>
      </c>
      <c r="AB158" s="6" t="s">
        <v>76</v>
      </c>
      <c r="AC158" s="6" t="s">
        <v>75</v>
      </c>
      <c r="AD158" s="6" t="str">
        <f>_xlfn.TEXTJOIN("/",TRUE,IF(OfertaPlazas[[#This Row],[GITST]]="SI","GITST",""),IF(OfertaPlazas[[#This Row],[GIB]]="SI","GIB",""),IF(OfertaPlazas[[#This Row],[GISD]]="SI","GISD",""),IF(OfertaPlazas[[#This Row],[MASTER]]="SI","MASTER",""))</f>
        <v>GITST/MASTER</v>
      </c>
      <c r="AE158" s="6" t="s">
        <v>76</v>
      </c>
      <c r="AF158" s="6" t="s">
        <v>76</v>
      </c>
      <c r="AG158" s="6" t="s">
        <v>76</v>
      </c>
      <c r="AH158" s="6" t="s">
        <v>75</v>
      </c>
      <c r="AI158" s="6" t="s">
        <v>75</v>
      </c>
      <c r="AJ158" s="6" t="s">
        <v>75</v>
      </c>
      <c r="AK158" s="6" t="s">
        <v>75</v>
      </c>
      <c r="AL158" s="6" t="s">
        <v>76</v>
      </c>
      <c r="AM158" s="6" t="s">
        <v>76</v>
      </c>
      <c r="AN158" s="6" t="s">
        <v>75</v>
      </c>
      <c r="AO158" s="6" t="s">
        <v>75</v>
      </c>
      <c r="AP158" s="6" t="s">
        <v>76</v>
      </c>
      <c r="AQ158" s="6" t="s">
        <v>75</v>
      </c>
      <c r="AR158" s="6" t="s">
        <v>76</v>
      </c>
      <c r="AS158" s="27" t="s">
        <v>173</v>
      </c>
      <c r="AT158" s="301"/>
      <c r="AU158" s="13" t="s">
        <v>1606</v>
      </c>
      <c r="AV158" s="221"/>
      <c r="AW158" s="221"/>
      <c r="AX158" s="54"/>
      <c r="AY158" s="72"/>
      <c r="AZ158" s="72"/>
      <c r="BA158" s="72"/>
      <c r="BB158" s="72"/>
      <c r="BC158" s="72"/>
      <c r="BD158" s="72"/>
      <c r="BE158" s="322"/>
      <c r="BF158" s="322"/>
      <c r="BG158" s="221"/>
      <c r="BH158" s="13"/>
      <c r="BI158" s="19"/>
      <c r="BL158" s="19" t="e">
        <f t="shared" si="4"/>
        <v>#REF!</v>
      </c>
    </row>
    <row r="159" spans="1:64" s="7" customFormat="1" ht="20.100000000000001" customHeight="1">
      <c r="A159" s="357">
        <v>158</v>
      </c>
      <c r="B159" s="40" t="s">
        <v>1610</v>
      </c>
      <c r="C159" s="267"/>
      <c r="D159" s="244" t="s">
        <v>1611</v>
      </c>
      <c r="E159" s="6"/>
      <c r="F159" s="6" t="s">
        <v>1504</v>
      </c>
      <c r="G159" s="54"/>
      <c r="H159" s="209" t="s">
        <v>1612</v>
      </c>
      <c r="I159" s="216" t="s">
        <v>1613</v>
      </c>
      <c r="J159" s="216" t="s">
        <v>477</v>
      </c>
      <c r="K159" s="275" t="s">
        <v>1614</v>
      </c>
      <c r="L159" s="216" t="s">
        <v>1615</v>
      </c>
      <c r="M159" s="216" t="s">
        <v>1616</v>
      </c>
      <c r="N159" s="6" t="s">
        <v>1617</v>
      </c>
      <c r="O159" s="54" t="s">
        <v>70</v>
      </c>
      <c r="P159" s="54" t="s">
        <v>70</v>
      </c>
      <c r="Q159" s="54" t="s">
        <v>70</v>
      </c>
      <c r="R159" s="6" t="s">
        <v>70</v>
      </c>
      <c r="S159" s="150" t="s">
        <v>1476</v>
      </c>
      <c r="T159" s="54" t="s">
        <v>72</v>
      </c>
      <c r="U159" s="36">
        <v>4</v>
      </c>
      <c r="V159" s="36">
        <v>10</v>
      </c>
      <c r="W159" s="36" t="s">
        <v>1618</v>
      </c>
      <c r="X159" s="36" t="s">
        <v>1619</v>
      </c>
      <c r="Y159" s="6" t="s">
        <v>75</v>
      </c>
      <c r="Z159" s="6" t="s">
        <v>75</v>
      </c>
      <c r="AA159" s="6" t="s">
        <v>75</v>
      </c>
      <c r="AB159" s="6" t="s">
        <v>75</v>
      </c>
      <c r="AC159" s="6" t="s">
        <v>75</v>
      </c>
      <c r="AD159" s="6" t="str">
        <f>_xlfn.TEXTJOIN("/",TRUE,IF(OfertaPlazas[[#This Row],[GITST]]="SI","GITST",""),IF(OfertaPlazas[[#This Row],[GIB]]="SI","GIB",""),IF(OfertaPlazas[[#This Row],[GISD]]="SI","GISD",""),IF(OfertaPlazas[[#This Row],[MASTER]]="SI","MASTER",""))</f>
        <v>GITST/GIB/GISD/MASTER</v>
      </c>
      <c r="AE159" s="6" t="s">
        <v>76</v>
      </c>
      <c r="AF159" s="6" t="s">
        <v>76</v>
      </c>
      <c r="AG159" s="6" t="s">
        <v>76</v>
      </c>
      <c r="AH159" s="6" t="s">
        <v>75</v>
      </c>
      <c r="AI159" s="6" t="s">
        <v>75</v>
      </c>
      <c r="AJ159" s="6" t="s">
        <v>75</v>
      </c>
      <c r="AK159" s="6" t="s">
        <v>75</v>
      </c>
      <c r="AL159" s="6" t="s">
        <v>75</v>
      </c>
      <c r="AM159" s="6" t="s">
        <v>75</v>
      </c>
      <c r="AN159" s="6" t="s">
        <v>75</v>
      </c>
      <c r="AO159" s="6" t="s">
        <v>75</v>
      </c>
      <c r="AP159" s="6" t="s">
        <v>75</v>
      </c>
      <c r="AQ159" s="6" t="s">
        <v>75</v>
      </c>
      <c r="AR159" s="6" t="s">
        <v>76</v>
      </c>
      <c r="AS159" s="272" t="s">
        <v>1478</v>
      </c>
      <c r="AT159" s="301"/>
      <c r="AU159" s="259" t="s">
        <v>1620</v>
      </c>
      <c r="AV159" s="71" t="s">
        <v>1621</v>
      </c>
      <c r="AW159" s="71"/>
      <c r="AX159" s="71"/>
      <c r="AY159" s="54"/>
      <c r="AZ159" s="54"/>
      <c r="BA159" s="54"/>
      <c r="BB159" s="54"/>
      <c r="BC159" s="54"/>
      <c r="BD159" s="54"/>
      <c r="BE159" s="319"/>
      <c r="BF159" s="319"/>
      <c r="BG159" s="63"/>
      <c r="BH159" s="13"/>
      <c r="BI159" s="19"/>
      <c r="BL159" s="19" t="e">
        <f t="shared" si="4"/>
        <v>#REF!</v>
      </c>
    </row>
    <row r="160" spans="1:64" s="19" customFormat="1" ht="20.100000000000001" hidden="1" customHeight="1">
      <c r="A160" s="357">
        <v>159</v>
      </c>
      <c r="B160" s="71" t="s">
        <v>1622</v>
      </c>
      <c r="C160" s="252"/>
      <c r="D160" s="244" t="s">
        <v>1623</v>
      </c>
      <c r="E160" s="6"/>
      <c r="F160" s="16" t="s">
        <v>1582</v>
      </c>
      <c r="G160" s="180"/>
      <c r="H160" s="214"/>
      <c r="I160" s="222"/>
      <c r="J160" s="222"/>
      <c r="K160" s="214" t="s">
        <v>1624</v>
      </c>
      <c r="L160" s="222" t="s">
        <v>141</v>
      </c>
      <c r="M160" s="222" t="s">
        <v>142</v>
      </c>
      <c r="N160" s="16" t="s">
        <v>230</v>
      </c>
      <c r="O160" s="6" t="s">
        <v>1625</v>
      </c>
      <c r="P160" s="6" t="s">
        <v>1625</v>
      </c>
      <c r="Q160" s="6" t="s">
        <v>1625</v>
      </c>
      <c r="R160" s="6" t="s">
        <v>1625</v>
      </c>
      <c r="S160" s="63"/>
      <c r="T160" s="6" t="s">
        <v>72</v>
      </c>
      <c r="U160" s="36">
        <v>2</v>
      </c>
      <c r="V160" s="36">
        <v>10</v>
      </c>
      <c r="W160" s="297" t="s">
        <v>1626</v>
      </c>
      <c r="X160" s="298" t="s">
        <v>1627</v>
      </c>
      <c r="Y160" s="6" t="s">
        <v>75</v>
      </c>
      <c r="Z160" s="6" t="s">
        <v>75</v>
      </c>
      <c r="AA160" s="6" t="s">
        <v>75</v>
      </c>
      <c r="AB160" s="6" t="s">
        <v>75</v>
      </c>
      <c r="AC160" s="6" t="s">
        <v>75</v>
      </c>
      <c r="AD160" s="6" t="str">
        <f>_xlfn.TEXTJOIN("/",TRUE,IF(OfertaPlazas[[#This Row],[GITST]]="SI","GITST",""),IF(OfertaPlazas[[#This Row],[GIB]]="SI","GIB",""),IF(OfertaPlazas[[#This Row],[GISD]]="SI","GISD",""),IF(OfertaPlazas[[#This Row],[MASTER]]="SI","MASTER",""))</f>
        <v>GITST/GIB/GISD/MASTER</v>
      </c>
      <c r="AE160" s="6" t="s">
        <v>75</v>
      </c>
      <c r="AF160" s="6" t="s">
        <v>75</v>
      </c>
      <c r="AG160" s="6" t="s">
        <v>75</v>
      </c>
      <c r="AH160" s="6" t="s">
        <v>75</v>
      </c>
      <c r="AI160" s="6" t="s">
        <v>75</v>
      </c>
      <c r="AJ160" s="6" t="s">
        <v>75</v>
      </c>
      <c r="AK160" s="6" t="s">
        <v>75</v>
      </c>
      <c r="AL160" s="6" t="s">
        <v>75</v>
      </c>
      <c r="AM160" s="6" t="s">
        <v>75</v>
      </c>
      <c r="AN160" s="6" t="s">
        <v>75</v>
      </c>
      <c r="AO160" s="6" t="s">
        <v>75</v>
      </c>
      <c r="AP160" s="6" t="s">
        <v>76</v>
      </c>
      <c r="AQ160" s="6" t="s">
        <v>76</v>
      </c>
      <c r="AR160" s="6" t="s">
        <v>76</v>
      </c>
      <c r="AS160" s="272" t="s">
        <v>1478</v>
      </c>
      <c r="AT160" s="301"/>
      <c r="AU160" s="63" t="s">
        <v>1628</v>
      </c>
      <c r="AV160" s="13" t="s">
        <v>1629</v>
      </c>
      <c r="AW160" s="40"/>
      <c r="AX160" s="13"/>
      <c r="AY160" s="5"/>
      <c r="AZ160" s="5"/>
      <c r="BA160" s="5"/>
      <c r="BB160" s="5"/>
      <c r="BC160" s="5"/>
      <c r="BD160" s="5"/>
      <c r="BE160" s="321"/>
      <c r="BF160" s="321"/>
      <c r="BG160" s="221"/>
      <c r="BH160" s="13"/>
      <c r="BL160" s="19" t="e">
        <f t="shared" si="4"/>
        <v>#REF!</v>
      </c>
    </row>
    <row r="161" spans="1:64" s="7" customFormat="1" ht="20.100000000000001" hidden="1" customHeight="1">
      <c r="A161" s="357">
        <v>160</v>
      </c>
      <c r="B161" s="71" t="s">
        <v>1630</v>
      </c>
      <c r="C161" s="252"/>
      <c r="D161" s="63" t="s">
        <v>1631</v>
      </c>
      <c r="E161" s="6"/>
      <c r="F161" s="6" t="s">
        <v>1582</v>
      </c>
      <c r="G161" s="54"/>
      <c r="H161" s="209"/>
      <c r="I161" s="216"/>
      <c r="J161" s="216"/>
      <c r="K161" s="209"/>
      <c r="L161" s="216"/>
      <c r="M161" s="216"/>
      <c r="N161" s="6" t="s">
        <v>1433</v>
      </c>
      <c r="O161" s="6" t="s">
        <v>70</v>
      </c>
      <c r="P161" s="6" t="s">
        <v>70</v>
      </c>
      <c r="Q161" s="6" t="s">
        <v>70</v>
      </c>
      <c r="R161" s="6" t="s">
        <v>70</v>
      </c>
      <c r="S161" s="150" t="s">
        <v>1434</v>
      </c>
      <c r="T161" s="6" t="s">
        <v>72</v>
      </c>
      <c r="U161" s="36">
        <v>2</v>
      </c>
      <c r="V161" s="36">
        <v>6</v>
      </c>
      <c r="W161" s="36" t="s">
        <v>1632</v>
      </c>
      <c r="X161" s="36" t="s">
        <v>1633</v>
      </c>
      <c r="Y161" s="6" t="s">
        <v>75</v>
      </c>
      <c r="Z161" s="6" t="s">
        <v>75</v>
      </c>
      <c r="AA161" s="6" t="s">
        <v>75</v>
      </c>
      <c r="AB161" s="6" t="s">
        <v>75</v>
      </c>
      <c r="AC161" s="6" t="s">
        <v>76</v>
      </c>
      <c r="AD161" s="6" t="str">
        <f>_xlfn.TEXTJOIN("/",TRUE,IF(OfertaPlazas[[#This Row],[GITST]]="SI","GITST",""),IF(OfertaPlazas[[#This Row],[GIB]]="SI","GIB",""),IF(OfertaPlazas[[#This Row],[GISD]]="SI","GISD",""),IF(OfertaPlazas[[#This Row],[MASTER]]="SI","MASTER",""))</f>
        <v>GITST/GIB/GISD</v>
      </c>
      <c r="AE161" s="6" t="s">
        <v>76</v>
      </c>
      <c r="AF161" s="6" t="s">
        <v>76</v>
      </c>
      <c r="AG161" s="6" t="s">
        <v>76</v>
      </c>
      <c r="AH161" s="6" t="s">
        <v>75</v>
      </c>
      <c r="AI161" s="6" t="s">
        <v>75</v>
      </c>
      <c r="AJ161" s="6" t="s">
        <v>75</v>
      </c>
      <c r="AK161" s="6" t="s">
        <v>75</v>
      </c>
      <c r="AL161" s="6" t="s">
        <v>75</v>
      </c>
      <c r="AM161" s="6" t="s">
        <v>75</v>
      </c>
      <c r="AN161" s="6" t="s">
        <v>75</v>
      </c>
      <c r="AO161" s="6" t="s">
        <v>76</v>
      </c>
      <c r="AP161" s="6" t="s">
        <v>76</v>
      </c>
      <c r="AQ161" s="6" t="s">
        <v>76</v>
      </c>
      <c r="AR161" s="6" t="s">
        <v>76</v>
      </c>
      <c r="AS161" s="272" t="s">
        <v>1478</v>
      </c>
      <c r="AT161" s="301"/>
      <c r="AU161" s="40" t="s">
        <v>1634</v>
      </c>
      <c r="AV161" s="63" t="s">
        <v>1635</v>
      </c>
      <c r="AW161" s="325"/>
      <c r="AX161" s="205"/>
      <c r="AY161" s="205"/>
      <c r="AZ161" s="205"/>
      <c r="BA161" s="205"/>
      <c r="BB161" s="205"/>
      <c r="BC161" s="205"/>
      <c r="BD161" s="205"/>
      <c r="BE161" s="326"/>
      <c r="BF161" s="326"/>
      <c r="BG161" s="325"/>
      <c r="BH161" s="13"/>
      <c r="BI161" s="19"/>
      <c r="BL161" s="19" t="e">
        <f t="shared" si="4"/>
        <v>#REF!</v>
      </c>
    </row>
    <row r="162" spans="1:64" s="7" customFormat="1" ht="20.100000000000001" hidden="1" customHeight="1">
      <c r="A162" s="357">
        <v>161</v>
      </c>
      <c r="B162" s="13" t="s">
        <v>1636</v>
      </c>
      <c r="C162" s="252"/>
      <c r="D162" s="63" t="s">
        <v>1515</v>
      </c>
      <c r="E162" s="6"/>
      <c r="F162" s="6" t="s">
        <v>1504</v>
      </c>
      <c r="G162" s="26"/>
      <c r="H162" s="209"/>
      <c r="I162" s="216"/>
      <c r="J162" s="216"/>
      <c r="K162" s="209"/>
      <c r="L162" s="216"/>
      <c r="M162" s="216"/>
      <c r="N162" s="6" t="s">
        <v>1433</v>
      </c>
      <c r="O162" s="54" t="s">
        <v>70</v>
      </c>
      <c r="P162" s="54" t="s">
        <v>70</v>
      </c>
      <c r="Q162" s="54" t="s">
        <v>70</v>
      </c>
      <c r="R162" s="54"/>
      <c r="S162" s="150" t="s">
        <v>1434</v>
      </c>
      <c r="T162" s="54" t="s">
        <v>72</v>
      </c>
      <c r="U162" s="36">
        <v>2</v>
      </c>
      <c r="V162" s="36">
        <v>10</v>
      </c>
      <c r="W162" s="36"/>
      <c r="X162" s="36"/>
      <c r="Y162" s="6" t="s">
        <v>75</v>
      </c>
      <c r="Z162" s="6" t="s">
        <v>75</v>
      </c>
      <c r="AA162" s="6" t="s">
        <v>76</v>
      </c>
      <c r="AB162" s="6" t="s">
        <v>75</v>
      </c>
      <c r="AC162" s="6" t="s">
        <v>76</v>
      </c>
      <c r="AD162" s="6" t="str">
        <f>_xlfn.TEXTJOIN("/",TRUE,IF(OfertaPlazas[[#This Row],[GITST]]="SI","GITST",""),IF(OfertaPlazas[[#This Row],[GIB]]="SI","GIB",""),IF(OfertaPlazas[[#This Row],[GISD]]="SI","GISD",""),IF(OfertaPlazas[[#This Row],[MASTER]]="SI","MASTER",""))</f>
        <v>GITST/GISD</v>
      </c>
      <c r="AE162" s="6" t="s">
        <v>76</v>
      </c>
      <c r="AF162" s="6" t="s">
        <v>76</v>
      </c>
      <c r="AG162" s="6" t="s">
        <v>76</v>
      </c>
      <c r="AH162" s="6" t="s">
        <v>75</v>
      </c>
      <c r="AI162" s="6" t="s">
        <v>75</v>
      </c>
      <c r="AJ162" s="6" t="s">
        <v>75</v>
      </c>
      <c r="AK162" s="6" t="s">
        <v>75</v>
      </c>
      <c r="AL162" s="6" t="s">
        <v>75</v>
      </c>
      <c r="AM162" s="6" t="s">
        <v>75</v>
      </c>
      <c r="AN162" s="6" t="s">
        <v>75</v>
      </c>
      <c r="AO162" s="6" t="s">
        <v>76</v>
      </c>
      <c r="AP162" s="6" t="s">
        <v>76</v>
      </c>
      <c r="AQ162" s="6" t="s">
        <v>76</v>
      </c>
      <c r="AR162" s="6" t="s">
        <v>76</v>
      </c>
      <c r="AS162" s="272" t="s">
        <v>1478</v>
      </c>
      <c r="AT162" s="301"/>
      <c r="AU162" s="13" t="s">
        <v>1578</v>
      </c>
      <c r="AV162" s="221" t="s">
        <v>1436</v>
      </c>
      <c r="AW162" s="221"/>
      <c r="AX162" s="54"/>
      <c r="AY162" s="72"/>
      <c r="AZ162" s="72"/>
      <c r="BA162" s="72"/>
      <c r="BB162" s="72"/>
      <c r="BC162" s="72"/>
      <c r="BD162" s="72"/>
      <c r="BE162" s="322"/>
      <c r="BF162" s="322"/>
      <c r="BG162" s="221"/>
      <c r="BH162" s="13"/>
      <c r="BI162" s="19"/>
      <c r="BL162" s="19" t="e">
        <f t="shared" si="4"/>
        <v>#REF!</v>
      </c>
    </row>
    <row r="163" spans="1:64" s="69" customFormat="1" ht="20.100000000000001" hidden="1" customHeight="1">
      <c r="A163" s="357">
        <v>162</v>
      </c>
      <c r="B163" s="72" t="s">
        <v>1637</v>
      </c>
      <c r="C163" s="252"/>
      <c r="D163" s="63" t="s">
        <v>1638</v>
      </c>
      <c r="E163" s="13"/>
      <c r="F163" s="6" t="s">
        <v>1639</v>
      </c>
      <c r="G163" s="54"/>
      <c r="H163" s="216"/>
      <c r="I163" s="216"/>
      <c r="J163" s="216"/>
      <c r="K163" s="216"/>
      <c r="L163" s="216"/>
      <c r="M163" s="216"/>
      <c r="N163" s="6" t="s">
        <v>1640</v>
      </c>
      <c r="O163" s="54"/>
      <c r="P163" s="54"/>
      <c r="Q163" s="54"/>
      <c r="R163" s="54"/>
      <c r="S163" s="153"/>
      <c r="T163" s="6" t="s">
        <v>76</v>
      </c>
      <c r="U163" s="36">
        <v>2</v>
      </c>
      <c r="V163" s="36">
        <v>5</v>
      </c>
      <c r="W163" s="36"/>
      <c r="X163" s="36"/>
      <c r="Y163" s="6" t="s">
        <v>75</v>
      </c>
      <c r="Z163" s="6" t="s">
        <v>76</v>
      </c>
      <c r="AA163" s="6" t="s">
        <v>75</v>
      </c>
      <c r="AB163" s="6" t="s">
        <v>76</v>
      </c>
      <c r="AC163" s="6" t="s">
        <v>76</v>
      </c>
      <c r="AD163" s="6" t="str">
        <f>_xlfn.TEXTJOIN("/",TRUE,IF(OfertaPlazas[[#This Row],[GITST]]="SI","GITST",""),IF(OfertaPlazas[[#This Row],[GIB]]="SI","GIB",""),IF(OfertaPlazas[[#This Row],[GISD]]="SI","GISD",""),IF(OfertaPlazas[[#This Row],[MASTER]]="SI","MASTER",""))</f>
        <v>GIB</v>
      </c>
      <c r="AE163" s="6" t="s">
        <v>75</v>
      </c>
      <c r="AF163" s="6" t="s">
        <v>75</v>
      </c>
      <c r="AG163" s="6" t="s">
        <v>75</v>
      </c>
      <c r="AH163" s="6" t="s">
        <v>75</v>
      </c>
      <c r="AI163" s="6" t="s">
        <v>75</v>
      </c>
      <c r="AJ163" s="6" t="s">
        <v>75</v>
      </c>
      <c r="AK163" s="6" t="s">
        <v>75</v>
      </c>
      <c r="AL163" s="6" t="s">
        <v>75</v>
      </c>
      <c r="AM163" s="6" t="s">
        <v>75</v>
      </c>
      <c r="AN163" s="6" t="s">
        <v>75</v>
      </c>
      <c r="AO163" s="6" t="s">
        <v>76</v>
      </c>
      <c r="AP163" s="6" t="s">
        <v>76</v>
      </c>
      <c r="AQ163" s="6" t="s">
        <v>76</v>
      </c>
      <c r="AR163" s="6" t="s">
        <v>76</v>
      </c>
      <c r="AS163" s="272" t="s">
        <v>1478</v>
      </c>
      <c r="AT163" s="301"/>
      <c r="AU163" s="63"/>
      <c r="AV163" s="13"/>
      <c r="AW163" s="13"/>
      <c r="AX163" s="13"/>
      <c r="AY163" s="13"/>
      <c r="AZ163" s="13"/>
      <c r="BA163" s="13"/>
      <c r="BB163" s="13"/>
      <c r="BC163" s="13"/>
      <c r="BD163" s="13"/>
      <c r="BE163" s="321"/>
      <c r="BF163" s="321"/>
      <c r="BG163" s="221"/>
      <c r="BH163" s="13"/>
      <c r="BI163" s="19"/>
      <c r="BL163" s="19" t="e">
        <f t="shared" si="4"/>
        <v>#REF!</v>
      </c>
    </row>
    <row r="164" spans="1:64" s="71" customFormat="1" ht="20.100000000000001" hidden="1" customHeight="1">
      <c r="A164" s="357">
        <v>163</v>
      </c>
      <c r="B164" s="72" t="s">
        <v>1641</v>
      </c>
      <c r="C164" s="252"/>
      <c r="D164" s="63" t="s">
        <v>1642</v>
      </c>
      <c r="E164" s="13"/>
      <c r="F164" s="6" t="s">
        <v>1639</v>
      </c>
      <c r="G164" s="6"/>
      <c r="H164" s="216"/>
      <c r="I164" s="216"/>
      <c r="J164" s="216"/>
      <c r="K164" s="216"/>
      <c r="L164" s="216"/>
      <c r="M164" s="216"/>
      <c r="N164" s="6" t="s">
        <v>1640</v>
      </c>
      <c r="O164" s="54"/>
      <c r="P164" s="54"/>
      <c r="Q164" s="54"/>
      <c r="R164" s="54"/>
      <c r="S164" s="153"/>
      <c r="T164" s="6" t="s">
        <v>76</v>
      </c>
      <c r="U164" s="36">
        <v>2</v>
      </c>
      <c r="V164" s="36">
        <v>9</v>
      </c>
      <c r="W164" s="36"/>
      <c r="X164" s="36"/>
      <c r="Y164" s="6" t="s">
        <v>75</v>
      </c>
      <c r="Z164" s="6" t="s">
        <v>75</v>
      </c>
      <c r="AA164" s="6" t="s">
        <v>76</v>
      </c>
      <c r="AB164" s="6" t="s">
        <v>76</v>
      </c>
      <c r="AC164" s="6" t="s">
        <v>76</v>
      </c>
      <c r="AD164" s="6" t="str">
        <f>_xlfn.TEXTJOIN("/",TRUE,IF(OfertaPlazas[[#This Row],[GITST]]="SI","GITST",""),IF(OfertaPlazas[[#This Row],[GIB]]="SI","GIB",""),IF(OfertaPlazas[[#This Row],[GISD]]="SI","GISD",""),IF(OfertaPlazas[[#This Row],[MASTER]]="SI","MASTER",""))</f>
        <v>GITST</v>
      </c>
      <c r="AE164" s="6" t="s">
        <v>75</v>
      </c>
      <c r="AF164" s="6" t="s">
        <v>75</v>
      </c>
      <c r="AG164" s="6" t="s">
        <v>75</v>
      </c>
      <c r="AH164" s="16" t="s">
        <v>75</v>
      </c>
      <c r="AI164" s="16" t="s">
        <v>75</v>
      </c>
      <c r="AJ164" s="16" t="s">
        <v>75</v>
      </c>
      <c r="AK164" s="16" t="s">
        <v>75</v>
      </c>
      <c r="AL164" s="16" t="s">
        <v>75</v>
      </c>
      <c r="AM164" s="16" t="s">
        <v>75</v>
      </c>
      <c r="AN164" s="16" t="s">
        <v>75</v>
      </c>
      <c r="AO164" s="6" t="s">
        <v>76</v>
      </c>
      <c r="AP164" s="6" t="s">
        <v>76</v>
      </c>
      <c r="AQ164" s="6" t="s">
        <v>76</v>
      </c>
      <c r="AR164" s="6" t="s">
        <v>76</v>
      </c>
      <c r="AS164" s="272" t="s">
        <v>1478</v>
      </c>
      <c r="AT164" s="301"/>
      <c r="AU164" s="63"/>
      <c r="BE164" s="321"/>
      <c r="BF164" s="321"/>
      <c r="BG164" s="221"/>
      <c r="BH164" s="54"/>
      <c r="BI164" s="288"/>
    </row>
    <row r="165" spans="1:64" s="7" customFormat="1" ht="20.100000000000001" hidden="1" customHeight="1">
      <c r="A165" s="357">
        <v>164</v>
      </c>
      <c r="B165" s="72" t="s">
        <v>1643</v>
      </c>
      <c r="C165" s="252"/>
      <c r="D165" s="63" t="s">
        <v>1644</v>
      </c>
      <c r="E165" s="13"/>
      <c r="F165" s="6" t="s">
        <v>1639</v>
      </c>
      <c r="G165" s="6"/>
      <c r="H165" s="216"/>
      <c r="I165" s="216"/>
      <c r="J165" s="216"/>
      <c r="K165" s="216"/>
      <c r="L165" s="216"/>
      <c r="M165" s="216"/>
      <c r="N165" s="6" t="s">
        <v>1640</v>
      </c>
      <c r="O165" s="26"/>
      <c r="P165" s="26"/>
      <c r="Q165" s="26"/>
      <c r="R165" s="54"/>
      <c r="S165" s="307"/>
      <c r="T165" s="6" t="s">
        <v>76</v>
      </c>
      <c r="U165" s="36">
        <v>2</v>
      </c>
      <c r="V165" s="36">
        <v>9</v>
      </c>
      <c r="W165" s="36"/>
      <c r="X165" s="36"/>
      <c r="Y165" s="6" t="s">
        <v>75</v>
      </c>
      <c r="Z165" s="6" t="s">
        <v>76</v>
      </c>
      <c r="AA165" s="6" t="s">
        <v>75</v>
      </c>
      <c r="AB165" s="6" t="s">
        <v>76</v>
      </c>
      <c r="AC165" s="6" t="s">
        <v>76</v>
      </c>
      <c r="AD165" s="6" t="str">
        <f>_xlfn.TEXTJOIN("/",TRUE,IF(OfertaPlazas[[#This Row],[GITST]]="SI","GITST",""),IF(OfertaPlazas[[#This Row],[GIB]]="SI","GIB",""),IF(OfertaPlazas[[#This Row],[GISD]]="SI","GISD",""),IF(OfertaPlazas[[#This Row],[MASTER]]="SI","MASTER",""))</f>
        <v>GIB</v>
      </c>
      <c r="AE165" s="6" t="s">
        <v>75</v>
      </c>
      <c r="AF165" s="6" t="s">
        <v>75</v>
      </c>
      <c r="AG165" s="6" t="s">
        <v>75</v>
      </c>
      <c r="AH165" s="16" t="s">
        <v>75</v>
      </c>
      <c r="AI165" s="16" t="s">
        <v>75</v>
      </c>
      <c r="AJ165" s="16" t="s">
        <v>75</v>
      </c>
      <c r="AK165" s="16" t="s">
        <v>75</v>
      </c>
      <c r="AL165" s="16" t="s">
        <v>75</v>
      </c>
      <c r="AM165" s="16" t="s">
        <v>75</v>
      </c>
      <c r="AN165" s="16" t="s">
        <v>75</v>
      </c>
      <c r="AO165" s="6" t="s">
        <v>76</v>
      </c>
      <c r="AP165" s="6" t="s">
        <v>76</v>
      </c>
      <c r="AQ165" s="6" t="s">
        <v>76</v>
      </c>
      <c r="AR165" s="6" t="s">
        <v>76</v>
      </c>
      <c r="AS165" s="272" t="s">
        <v>1478</v>
      </c>
      <c r="AT165" s="301"/>
      <c r="AU165" s="72"/>
      <c r="AV165" s="71"/>
      <c r="AW165" s="71"/>
      <c r="AX165" s="71"/>
      <c r="AY165" s="71"/>
      <c r="AZ165" s="71"/>
      <c r="BA165" s="71"/>
      <c r="BB165" s="71"/>
      <c r="BC165" s="71"/>
      <c r="BD165" s="71"/>
      <c r="BE165" s="319"/>
      <c r="BF165" s="319"/>
      <c r="BG165" s="240"/>
      <c r="BH165" s="13"/>
      <c r="BI165" s="19"/>
      <c r="BL165" s="19" t="e">
        <f t="shared" ref="BL165:BL182" si="5">VLOOKUP(E165,#REF!,1,FALSE)</f>
        <v>#REF!</v>
      </c>
    </row>
    <row r="166" spans="1:64" s="19" customFormat="1" ht="20.100000000000001" hidden="1" customHeight="1">
      <c r="A166" s="357">
        <v>165</v>
      </c>
      <c r="B166" s="72" t="s">
        <v>1645</v>
      </c>
      <c r="C166" s="252"/>
      <c r="D166" s="63" t="s">
        <v>1646</v>
      </c>
      <c r="E166" s="13"/>
      <c r="F166" s="6" t="s">
        <v>1639</v>
      </c>
      <c r="G166" s="54"/>
      <c r="H166" s="216"/>
      <c r="I166" s="216"/>
      <c r="J166" s="216"/>
      <c r="K166" s="216"/>
      <c r="L166" s="216"/>
      <c r="M166" s="216"/>
      <c r="N166" s="6" t="s">
        <v>1640</v>
      </c>
      <c r="O166" s="26"/>
      <c r="P166" s="26"/>
      <c r="Q166" s="26"/>
      <c r="R166" s="26"/>
      <c r="S166" s="153"/>
      <c r="T166" s="6" t="s">
        <v>76</v>
      </c>
      <c r="U166" s="36">
        <v>2</v>
      </c>
      <c r="V166" s="36">
        <v>9</v>
      </c>
      <c r="W166" s="36"/>
      <c r="X166" s="36"/>
      <c r="Y166" s="6" t="s">
        <v>75</v>
      </c>
      <c r="Z166" s="6" t="s">
        <v>75</v>
      </c>
      <c r="AA166" s="6" t="s">
        <v>76</v>
      </c>
      <c r="AB166" s="6" t="s">
        <v>75</v>
      </c>
      <c r="AC166" s="6" t="s">
        <v>76</v>
      </c>
      <c r="AD166" s="6" t="str">
        <f>_xlfn.TEXTJOIN("/",TRUE,IF(OfertaPlazas[[#This Row],[GITST]]="SI","GITST",""),IF(OfertaPlazas[[#This Row],[GIB]]="SI","GIB",""),IF(OfertaPlazas[[#This Row],[GISD]]="SI","GISD",""),IF(OfertaPlazas[[#This Row],[MASTER]]="SI","MASTER",""))</f>
        <v>GITST/GISD</v>
      </c>
      <c r="AE166" s="6" t="s">
        <v>75</v>
      </c>
      <c r="AF166" s="6" t="s">
        <v>75</v>
      </c>
      <c r="AG166" s="6" t="s">
        <v>75</v>
      </c>
      <c r="AH166" s="16" t="s">
        <v>75</v>
      </c>
      <c r="AI166" s="16" t="s">
        <v>75</v>
      </c>
      <c r="AJ166" s="16" t="s">
        <v>75</v>
      </c>
      <c r="AK166" s="16" t="s">
        <v>75</v>
      </c>
      <c r="AL166" s="16" t="s">
        <v>75</v>
      </c>
      <c r="AM166" s="16" t="s">
        <v>75</v>
      </c>
      <c r="AN166" s="16" t="s">
        <v>75</v>
      </c>
      <c r="AO166" s="6" t="s">
        <v>76</v>
      </c>
      <c r="AP166" s="6" t="s">
        <v>76</v>
      </c>
      <c r="AQ166" s="6" t="s">
        <v>76</v>
      </c>
      <c r="AR166" s="6" t="s">
        <v>76</v>
      </c>
      <c r="AS166" s="272" t="s">
        <v>1478</v>
      </c>
      <c r="AT166" s="301"/>
      <c r="AU166" s="63" t="s">
        <v>1647</v>
      </c>
      <c r="AV166" s="71"/>
      <c r="AW166" s="71"/>
      <c r="AX166" s="71"/>
      <c r="AY166" s="13"/>
      <c r="AZ166" s="13"/>
      <c r="BA166" s="13"/>
      <c r="BB166" s="13"/>
      <c r="BC166" s="13"/>
      <c r="BD166" s="13"/>
      <c r="BE166" s="319"/>
      <c r="BF166" s="319"/>
      <c r="BG166" s="240"/>
      <c r="BH166" s="13"/>
      <c r="BL166" s="19" t="e">
        <f t="shared" si="5"/>
        <v>#REF!</v>
      </c>
    </row>
    <row r="167" spans="1:64" s="19" customFormat="1" ht="20.100000000000001" hidden="1" customHeight="1">
      <c r="A167" s="357">
        <v>166</v>
      </c>
      <c r="B167" s="72" t="s">
        <v>1648</v>
      </c>
      <c r="C167" s="252"/>
      <c r="D167" s="63" t="s">
        <v>1649</v>
      </c>
      <c r="E167" s="13"/>
      <c r="F167" s="6" t="s">
        <v>1639</v>
      </c>
      <c r="G167" s="54"/>
      <c r="H167" s="216"/>
      <c r="I167" s="216"/>
      <c r="J167" s="216"/>
      <c r="K167" s="216"/>
      <c r="L167" s="216"/>
      <c r="M167" s="216"/>
      <c r="N167" s="6" t="s">
        <v>1640</v>
      </c>
      <c r="O167" s="26"/>
      <c r="P167" s="26"/>
      <c r="Q167" s="26"/>
      <c r="R167" s="54"/>
      <c r="S167" s="153"/>
      <c r="T167" s="6" t="s">
        <v>76</v>
      </c>
      <c r="U167" s="36">
        <v>2</v>
      </c>
      <c r="V167" s="36">
        <v>9</v>
      </c>
      <c r="W167" s="36"/>
      <c r="X167" s="36"/>
      <c r="Y167" s="6" t="s">
        <v>75</v>
      </c>
      <c r="Z167" s="6" t="s">
        <v>76</v>
      </c>
      <c r="AA167" s="6" t="s">
        <v>75</v>
      </c>
      <c r="AB167" s="6" t="s">
        <v>76</v>
      </c>
      <c r="AC167" s="6" t="s">
        <v>76</v>
      </c>
      <c r="AD167" s="6" t="str">
        <f>_xlfn.TEXTJOIN("/",TRUE,IF(OfertaPlazas[[#This Row],[GITST]]="SI","GITST",""),IF(OfertaPlazas[[#This Row],[GIB]]="SI","GIB",""),IF(OfertaPlazas[[#This Row],[GISD]]="SI","GISD",""),IF(OfertaPlazas[[#This Row],[MASTER]]="SI","MASTER",""))</f>
        <v>GIB</v>
      </c>
      <c r="AE167" s="6" t="s">
        <v>75</v>
      </c>
      <c r="AF167" s="6" t="s">
        <v>75</v>
      </c>
      <c r="AG167" s="6" t="s">
        <v>75</v>
      </c>
      <c r="AH167" s="16" t="s">
        <v>75</v>
      </c>
      <c r="AI167" s="16" t="s">
        <v>75</v>
      </c>
      <c r="AJ167" s="16" t="s">
        <v>75</v>
      </c>
      <c r="AK167" s="16" t="s">
        <v>75</v>
      </c>
      <c r="AL167" s="16" t="s">
        <v>75</v>
      </c>
      <c r="AM167" s="16" t="s">
        <v>75</v>
      </c>
      <c r="AN167" s="16" t="s">
        <v>75</v>
      </c>
      <c r="AO167" s="6" t="s">
        <v>76</v>
      </c>
      <c r="AP167" s="6" t="s">
        <v>76</v>
      </c>
      <c r="AQ167" s="6" t="s">
        <v>76</v>
      </c>
      <c r="AR167" s="6" t="s">
        <v>76</v>
      </c>
      <c r="AS167" s="272" t="s">
        <v>1478</v>
      </c>
      <c r="AT167" s="301"/>
      <c r="AU167" s="63"/>
      <c r="AV167" s="71"/>
      <c r="AW167" s="71"/>
      <c r="AX167" s="71"/>
      <c r="AY167" s="71"/>
      <c r="AZ167" s="71"/>
      <c r="BA167" s="71"/>
      <c r="BB167" s="71"/>
      <c r="BC167" s="71"/>
      <c r="BD167" s="71"/>
      <c r="BE167" s="319"/>
      <c r="BF167" s="319"/>
      <c r="BG167" s="240"/>
      <c r="BH167" s="13"/>
      <c r="BL167" s="19" t="e">
        <f t="shared" si="5"/>
        <v>#REF!</v>
      </c>
    </row>
    <row r="168" spans="1:64" s="19" customFormat="1" ht="20.100000000000001" hidden="1" customHeight="1">
      <c r="A168" s="357">
        <v>167</v>
      </c>
      <c r="B168" s="72" t="s">
        <v>1650</v>
      </c>
      <c r="C168" s="252"/>
      <c r="D168" s="63" t="s">
        <v>1651</v>
      </c>
      <c r="E168" s="13"/>
      <c r="F168" s="6" t="s">
        <v>1639</v>
      </c>
      <c r="G168" s="54"/>
      <c r="H168" s="216"/>
      <c r="I168" s="216"/>
      <c r="J168" s="216"/>
      <c r="K168" s="216"/>
      <c r="L168" s="216"/>
      <c r="M168" s="216"/>
      <c r="N168" s="6" t="s">
        <v>1640</v>
      </c>
      <c r="O168" s="26"/>
      <c r="P168" s="26"/>
      <c r="Q168" s="26"/>
      <c r="R168" s="54"/>
      <c r="S168" s="153"/>
      <c r="T168" s="6" t="s">
        <v>76</v>
      </c>
      <c r="U168" s="36">
        <v>2</v>
      </c>
      <c r="V168" s="36">
        <v>9</v>
      </c>
      <c r="W168" s="36"/>
      <c r="X168" s="36"/>
      <c r="Y168" s="6" t="s">
        <v>75</v>
      </c>
      <c r="Z168" s="6" t="s">
        <v>75</v>
      </c>
      <c r="AA168" s="6" t="s">
        <v>75</v>
      </c>
      <c r="AB168" s="6" t="s">
        <v>76</v>
      </c>
      <c r="AC168" s="6" t="s">
        <v>76</v>
      </c>
      <c r="AD168" s="6" t="str">
        <f>_xlfn.TEXTJOIN("/",TRUE,IF(OfertaPlazas[[#This Row],[GITST]]="SI","GITST",""),IF(OfertaPlazas[[#This Row],[GIB]]="SI","GIB",""),IF(OfertaPlazas[[#This Row],[GISD]]="SI","GISD",""),IF(OfertaPlazas[[#This Row],[MASTER]]="SI","MASTER",""))</f>
        <v>GITST/GIB</v>
      </c>
      <c r="AE168" s="6" t="s">
        <v>75</v>
      </c>
      <c r="AF168" s="6" t="s">
        <v>75</v>
      </c>
      <c r="AG168" s="6" t="s">
        <v>75</v>
      </c>
      <c r="AH168" s="16" t="s">
        <v>75</v>
      </c>
      <c r="AI168" s="16" t="s">
        <v>75</v>
      </c>
      <c r="AJ168" s="16" t="s">
        <v>75</v>
      </c>
      <c r="AK168" s="16" t="s">
        <v>75</v>
      </c>
      <c r="AL168" s="16" t="s">
        <v>75</v>
      </c>
      <c r="AM168" s="16" t="s">
        <v>75</v>
      </c>
      <c r="AN168" s="16" t="s">
        <v>75</v>
      </c>
      <c r="AO168" s="6" t="s">
        <v>76</v>
      </c>
      <c r="AP168" s="6" t="s">
        <v>76</v>
      </c>
      <c r="AQ168" s="6" t="s">
        <v>76</v>
      </c>
      <c r="AR168" s="6" t="s">
        <v>76</v>
      </c>
      <c r="AS168" s="272" t="s">
        <v>1478</v>
      </c>
      <c r="AT168" s="301"/>
      <c r="AU168" s="63" t="s">
        <v>1652</v>
      </c>
      <c r="AV168" s="71" t="s">
        <v>1653</v>
      </c>
      <c r="AW168" s="71"/>
      <c r="AX168" s="71"/>
      <c r="AY168" s="71"/>
      <c r="AZ168" s="71"/>
      <c r="BA168" s="71"/>
      <c r="BB168" s="71"/>
      <c r="BC168" s="71"/>
      <c r="BD168" s="71"/>
      <c r="BE168" s="319"/>
      <c r="BF168" s="319"/>
      <c r="BG168" s="240"/>
      <c r="BH168" s="13"/>
    </row>
    <row r="169" spans="1:64" s="206" customFormat="1" ht="20.100000000000001" hidden="1" customHeight="1">
      <c r="A169" s="357">
        <v>168</v>
      </c>
      <c r="B169" s="72" t="s">
        <v>1654</v>
      </c>
      <c r="C169" s="252"/>
      <c r="D169" s="63" t="s">
        <v>1655</v>
      </c>
      <c r="E169" s="13"/>
      <c r="F169" s="6" t="s">
        <v>1639</v>
      </c>
      <c r="G169" s="54"/>
      <c r="H169" s="216"/>
      <c r="I169" s="216"/>
      <c r="J169" s="216"/>
      <c r="K169" s="216"/>
      <c r="L169" s="216"/>
      <c r="M169" s="216"/>
      <c r="N169" s="6" t="s">
        <v>1640</v>
      </c>
      <c r="O169" s="26"/>
      <c r="P169" s="26"/>
      <c r="Q169" s="26"/>
      <c r="R169" s="26"/>
      <c r="S169" s="153"/>
      <c r="T169" s="6" t="s">
        <v>76</v>
      </c>
      <c r="U169" s="36">
        <v>3</v>
      </c>
      <c r="V169" s="36">
        <v>9</v>
      </c>
      <c r="W169" s="36"/>
      <c r="X169" s="36"/>
      <c r="Y169" s="6" t="s">
        <v>75</v>
      </c>
      <c r="Z169" s="6" t="s">
        <v>75</v>
      </c>
      <c r="AA169" s="6" t="s">
        <v>76</v>
      </c>
      <c r="AB169" s="6" t="s">
        <v>76</v>
      </c>
      <c r="AC169" s="6" t="s">
        <v>76</v>
      </c>
      <c r="AD169" s="6" t="str">
        <f>_xlfn.TEXTJOIN("/",TRUE,IF(OfertaPlazas[[#This Row],[GITST]]="SI","GITST",""),IF(OfertaPlazas[[#This Row],[GIB]]="SI","GIB",""),IF(OfertaPlazas[[#This Row],[GISD]]="SI","GISD",""),IF(OfertaPlazas[[#This Row],[MASTER]]="SI","MASTER",""))</f>
        <v>GITST</v>
      </c>
      <c r="AE169" s="6" t="s">
        <v>75</v>
      </c>
      <c r="AF169" s="6" t="s">
        <v>75</v>
      </c>
      <c r="AG169" s="6" t="s">
        <v>75</v>
      </c>
      <c r="AH169" s="16" t="s">
        <v>75</v>
      </c>
      <c r="AI169" s="16" t="s">
        <v>75</v>
      </c>
      <c r="AJ169" s="16" t="s">
        <v>75</v>
      </c>
      <c r="AK169" s="16" t="s">
        <v>75</v>
      </c>
      <c r="AL169" s="16" t="s">
        <v>75</v>
      </c>
      <c r="AM169" s="16" t="s">
        <v>75</v>
      </c>
      <c r="AN169" s="16" t="s">
        <v>75</v>
      </c>
      <c r="AO169" s="6" t="s">
        <v>76</v>
      </c>
      <c r="AP169" s="6" t="s">
        <v>76</v>
      </c>
      <c r="AQ169" s="6" t="s">
        <v>76</v>
      </c>
      <c r="AR169" s="6" t="s">
        <v>76</v>
      </c>
      <c r="AS169" s="272" t="s">
        <v>1478</v>
      </c>
      <c r="AT169" s="301"/>
      <c r="AU169" s="63"/>
      <c r="AV169" s="145"/>
      <c r="AW169" s="145"/>
      <c r="AX169" s="71"/>
      <c r="AY169" s="13"/>
      <c r="AZ169" s="13"/>
      <c r="BA169" s="13"/>
      <c r="BB169" s="13"/>
      <c r="BC169" s="13"/>
      <c r="BD169" s="13"/>
      <c r="BE169" s="319"/>
      <c r="BF169" s="319"/>
      <c r="BG169" s="240"/>
      <c r="BH169" s="71"/>
      <c r="BI169" s="7"/>
      <c r="BL169" s="19" t="e">
        <f t="shared" si="5"/>
        <v>#REF!</v>
      </c>
    </row>
    <row r="170" spans="1:64" s="7" customFormat="1" ht="20.100000000000001" hidden="1" customHeight="1">
      <c r="A170" s="357">
        <v>169</v>
      </c>
      <c r="B170" s="72" t="s">
        <v>1656</v>
      </c>
      <c r="C170" s="252"/>
      <c r="D170" s="63" t="s">
        <v>1657</v>
      </c>
      <c r="E170" s="13"/>
      <c r="F170" s="6" t="s">
        <v>1639</v>
      </c>
      <c r="G170" s="54"/>
      <c r="H170" s="216"/>
      <c r="I170" s="216"/>
      <c r="J170" s="216"/>
      <c r="K170" s="216"/>
      <c r="L170" s="216"/>
      <c r="M170" s="216"/>
      <c r="N170" s="6" t="s">
        <v>1640</v>
      </c>
      <c r="O170" s="26"/>
      <c r="P170" s="26"/>
      <c r="Q170" s="26"/>
      <c r="R170" s="26"/>
      <c r="S170" s="153"/>
      <c r="T170" s="6" t="s">
        <v>76</v>
      </c>
      <c r="U170" s="36">
        <v>1</v>
      </c>
      <c r="V170" s="36">
        <v>9</v>
      </c>
      <c r="W170" s="36"/>
      <c r="X170" s="36"/>
      <c r="Y170" s="6" t="s">
        <v>75</v>
      </c>
      <c r="Z170" s="6" t="s">
        <v>75</v>
      </c>
      <c r="AA170" s="6" t="s">
        <v>76</v>
      </c>
      <c r="AB170" s="6" t="s">
        <v>76</v>
      </c>
      <c r="AC170" s="54" t="s">
        <v>76</v>
      </c>
      <c r="AD170" s="6" t="str">
        <f>_xlfn.TEXTJOIN("/",TRUE,IF(OfertaPlazas[[#This Row],[GITST]]="SI","GITST",""),IF(OfertaPlazas[[#This Row],[GIB]]="SI","GIB",""),IF(OfertaPlazas[[#This Row],[GISD]]="SI","GISD",""),IF(OfertaPlazas[[#This Row],[MASTER]]="SI","MASTER",""))</f>
        <v>GITST</v>
      </c>
      <c r="AE170" s="6" t="s">
        <v>75</v>
      </c>
      <c r="AF170" s="6" t="s">
        <v>75</v>
      </c>
      <c r="AG170" s="6" t="s">
        <v>75</v>
      </c>
      <c r="AH170" s="6" t="s">
        <v>75</v>
      </c>
      <c r="AI170" s="6" t="s">
        <v>75</v>
      </c>
      <c r="AJ170" s="6" t="s">
        <v>75</v>
      </c>
      <c r="AK170" s="6" t="s">
        <v>75</v>
      </c>
      <c r="AL170" s="6" t="s">
        <v>75</v>
      </c>
      <c r="AM170" s="6" t="s">
        <v>75</v>
      </c>
      <c r="AN170" s="6" t="s">
        <v>75</v>
      </c>
      <c r="AO170" s="6" t="s">
        <v>75</v>
      </c>
      <c r="AP170" s="6" t="s">
        <v>75</v>
      </c>
      <c r="AQ170" s="6" t="s">
        <v>75</v>
      </c>
      <c r="AR170" s="6" t="s">
        <v>76</v>
      </c>
      <c r="AS170" s="272" t="s">
        <v>1478</v>
      </c>
      <c r="AT170" s="301"/>
      <c r="AU170" s="63"/>
      <c r="AV170" s="13" t="s">
        <v>1658</v>
      </c>
      <c r="AW170" s="13"/>
      <c r="AX170" s="13"/>
      <c r="AY170" s="13"/>
      <c r="AZ170" s="13"/>
      <c r="BA170" s="13"/>
      <c r="BB170" s="13"/>
      <c r="BC170" s="13"/>
      <c r="BD170" s="13"/>
      <c r="BE170" s="319"/>
      <c r="BF170" s="319"/>
      <c r="BG170" s="240"/>
      <c r="BH170" s="13"/>
      <c r="BI170" s="19"/>
      <c r="BL170" s="19" t="e">
        <f t="shared" si="5"/>
        <v>#REF!</v>
      </c>
    </row>
    <row r="171" spans="1:64" s="7" customFormat="1" ht="20.100000000000001" hidden="1" customHeight="1">
      <c r="A171" s="357">
        <v>170</v>
      </c>
      <c r="B171" s="72" t="s">
        <v>1659</v>
      </c>
      <c r="C171" s="252"/>
      <c r="D171" s="63" t="s">
        <v>1660</v>
      </c>
      <c r="E171" s="13"/>
      <c r="F171" s="6" t="s">
        <v>1639</v>
      </c>
      <c r="G171" s="26"/>
      <c r="H171" s="216"/>
      <c r="I171" s="216"/>
      <c r="J171" s="216"/>
      <c r="K171" s="216"/>
      <c r="L171" s="216"/>
      <c r="M171" s="216"/>
      <c r="N171" s="6" t="s">
        <v>1640</v>
      </c>
      <c r="O171" s="26"/>
      <c r="P171" s="26"/>
      <c r="Q171" s="26"/>
      <c r="R171" s="26"/>
      <c r="S171" s="153"/>
      <c r="T171" s="6" t="s">
        <v>76</v>
      </c>
      <c r="U171" s="36">
        <v>2</v>
      </c>
      <c r="V171" s="36">
        <v>9</v>
      </c>
      <c r="W171" s="36"/>
      <c r="X171" s="36"/>
      <c r="Y171" s="6" t="s">
        <v>75</v>
      </c>
      <c r="Z171" s="6" t="s">
        <v>76</v>
      </c>
      <c r="AA171" s="6" t="s">
        <v>75</v>
      </c>
      <c r="AB171" s="6" t="s">
        <v>76</v>
      </c>
      <c r="AC171" s="6" t="s">
        <v>76</v>
      </c>
      <c r="AD171" s="6" t="str">
        <f>_xlfn.TEXTJOIN("/",TRUE,IF(OfertaPlazas[[#This Row],[GITST]]="SI","GITST",""),IF(OfertaPlazas[[#This Row],[GIB]]="SI","GIB",""),IF(OfertaPlazas[[#This Row],[GISD]]="SI","GISD",""),IF(OfertaPlazas[[#This Row],[MASTER]]="SI","MASTER",""))</f>
        <v>GIB</v>
      </c>
      <c r="AE171" s="6" t="s">
        <v>75</v>
      </c>
      <c r="AF171" s="6" t="s">
        <v>75</v>
      </c>
      <c r="AG171" s="6" t="s">
        <v>75</v>
      </c>
      <c r="AH171" s="6" t="s">
        <v>75</v>
      </c>
      <c r="AI171" s="6" t="s">
        <v>75</v>
      </c>
      <c r="AJ171" s="6" t="s">
        <v>75</v>
      </c>
      <c r="AK171" s="6" t="s">
        <v>75</v>
      </c>
      <c r="AL171" s="6" t="s">
        <v>75</v>
      </c>
      <c r="AM171" s="6" t="s">
        <v>75</v>
      </c>
      <c r="AN171" s="6" t="s">
        <v>75</v>
      </c>
      <c r="AO171" s="6" t="s">
        <v>76</v>
      </c>
      <c r="AP171" s="6" t="s">
        <v>76</v>
      </c>
      <c r="AQ171" s="6" t="s">
        <v>76</v>
      </c>
      <c r="AR171" s="6" t="s">
        <v>76</v>
      </c>
      <c r="AS171" s="272" t="s">
        <v>1478</v>
      </c>
      <c r="AT171" s="301"/>
      <c r="AU171" s="63" t="s">
        <v>1661</v>
      </c>
      <c r="AV171" s="71"/>
      <c r="AW171" s="71"/>
      <c r="AX171" s="71"/>
      <c r="AY171" s="71"/>
      <c r="AZ171" s="71"/>
      <c r="BA171" s="71"/>
      <c r="BB171" s="71"/>
      <c r="BC171" s="71"/>
      <c r="BD171" s="71"/>
      <c r="BE171" s="319"/>
      <c r="BF171" s="323"/>
      <c r="BG171" s="324"/>
      <c r="BH171" s="13"/>
      <c r="BI171" s="19"/>
      <c r="BL171" s="19" t="e">
        <f t="shared" si="5"/>
        <v>#REF!</v>
      </c>
    </row>
    <row r="172" spans="1:64" s="1" customFormat="1" ht="18.75" hidden="1" customHeight="1">
      <c r="A172" s="357">
        <v>171</v>
      </c>
      <c r="B172" s="13" t="s">
        <v>1662</v>
      </c>
      <c r="C172" s="252"/>
      <c r="D172" s="244" t="s">
        <v>1663</v>
      </c>
      <c r="E172" s="6"/>
      <c r="F172" s="16" t="s">
        <v>1455</v>
      </c>
      <c r="G172" s="26"/>
      <c r="H172" s="214" t="s">
        <v>1664</v>
      </c>
      <c r="I172" s="222" t="s">
        <v>1458</v>
      </c>
      <c r="J172" s="222" t="s">
        <v>664</v>
      </c>
      <c r="K172" s="214"/>
      <c r="L172" s="222"/>
      <c r="M172" s="222"/>
      <c r="N172" s="16" t="s">
        <v>230</v>
      </c>
      <c r="O172" s="6"/>
      <c r="P172" s="54" t="s">
        <v>70</v>
      </c>
      <c r="Q172" s="6"/>
      <c r="R172" s="6"/>
      <c r="S172" s="63"/>
      <c r="T172" s="6" t="s">
        <v>72</v>
      </c>
      <c r="U172" s="36">
        <v>5</v>
      </c>
      <c r="V172" s="36">
        <v>12</v>
      </c>
      <c r="W172" s="36" t="s">
        <v>1665</v>
      </c>
      <c r="X172" s="36" t="s">
        <v>1666</v>
      </c>
      <c r="Y172" s="6" t="s">
        <v>76</v>
      </c>
      <c r="Z172" s="6" t="s">
        <v>76</v>
      </c>
      <c r="AA172" s="6" t="s">
        <v>76</v>
      </c>
      <c r="AB172" s="6" t="s">
        <v>76</v>
      </c>
      <c r="AC172" s="6" t="s">
        <v>75</v>
      </c>
      <c r="AD172" s="6" t="str">
        <f>_xlfn.TEXTJOIN("/",TRUE,IF(OfertaPlazas[[#This Row],[GITST]]="SI","GITST",""),IF(OfertaPlazas[[#This Row],[GIB]]="SI","GIB",""),IF(OfertaPlazas[[#This Row],[GISD]]="SI","GISD",""),IF(OfertaPlazas[[#This Row],[MASTER]]="SI","MASTER",""))</f>
        <v>MASTER</v>
      </c>
      <c r="AE172" s="6" t="s">
        <v>76</v>
      </c>
      <c r="AF172" s="6" t="s">
        <v>76</v>
      </c>
      <c r="AG172" s="6" t="s">
        <v>76</v>
      </c>
      <c r="AH172" s="6" t="s">
        <v>76</v>
      </c>
      <c r="AI172" s="6" t="s">
        <v>76</v>
      </c>
      <c r="AJ172" s="6" t="s">
        <v>76</v>
      </c>
      <c r="AK172" s="6" t="s">
        <v>76</v>
      </c>
      <c r="AL172" s="6" t="s">
        <v>76</v>
      </c>
      <c r="AM172" s="6" t="s">
        <v>76</v>
      </c>
      <c r="AN172" s="6" t="s">
        <v>76</v>
      </c>
      <c r="AO172" s="6" t="s">
        <v>75</v>
      </c>
      <c r="AP172" s="6" t="s">
        <v>75</v>
      </c>
      <c r="AQ172" s="6" t="s">
        <v>75</v>
      </c>
      <c r="AR172" s="6" t="s">
        <v>76</v>
      </c>
      <c r="AS172" s="27" t="s">
        <v>1667</v>
      </c>
      <c r="AT172" s="301"/>
      <c r="AU172" s="259" t="s">
        <v>1668</v>
      </c>
      <c r="AV172" s="13" t="s">
        <v>1669</v>
      </c>
      <c r="AW172" s="13"/>
      <c r="AX172" s="13"/>
      <c r="AY172" s="54"/>
      <c r="AZ172" s="54"/>
      <c r="BA172" s="54"/>
      <c r="BB172" s="54"/>
      <c r="BC172" s="54"/>
      <c r="BD172" s="54"/>
      <c r="BE172" s="319"/>
      <c r="BF172" s="319"/>
      <c r="BG172" s="63"/>
      <c r="BH172" s="13"/>
      <c r="BI172" s="19"/>
      <c r="BL172" s="19" t="e">
        <f t="shared" si="5"/>
        <v>#REF!</v>
      </c>
    </row>
    <row r="173" spans="1:64" s="1" customFormat="1" ht="18.75" hidden="1" customHeight="1">
      <c r="A173" s="357">
        <v>172</v>
      </c>
      <c r="B173" s="71" t="s">
        <v>1670</v>
      </c>
      <c r="C173" s="252"/>
      <c r="D173" s="63" t="s">
        <v>1671</v>
      </c>
      <c r="E173" s="6"/>
      <c r="F173" s="6" t="s">
        <v>1504</v>
      </c>
      <c r="G173" s="54"/>
      <c r="H173" s="209"/>
      <c r="I173" s="216"/>
      <c r="J173" s="216"/>
      <c r="K173" s="209"/>
      <c r="L173" s="216"/>
      <c r="M173" s="216"/>
      <c r="N173" s="6" t="s">
        <v>230</v>
      </c>
      <c r="O173" s="54"/>
      <c r="P173" s="54"/>
      <c r="Q173" s="54"/>
      <c r="R173" s="54"/>
      <c r="S173" s="63"/>
      <c r="T173" s="54" t="s">
        <v>72</v>
      </c>
      <c r="U173" s="36">
        <v>2</v>
      </c>
      <c r="V173" s="36">
        <v>12</v>
      </c>
      <c r="W173" s="36"/>
      <c r="X173" s="36"/>
      <c r="Y173" s="6" t="s">
        <v>75</v>
      </c>
      <c r="Z173" s="6" t="s">
        <v>75</v>
      </c>
      <c r="AA173" s="6" t="s">
        <v>75</v>
      </c>
      <c r="AB173" s="6" t="s">
        <v>76</v>
      </c>
      <c r="AC173" s="6" t="s">
        <v>75</v>
      </c>
      <c r="AD173" s="6" t="str">
        <f>_xlfn.TEXTJOIN("/",TRUE,IF(OfertaPlazas[[#This Row],[GITST]]="SI","GITST",""),IF(OfertaPlazas[[#This Row],[GIB]]="SI","GIB",""),IF(OfertaPlazas[[#This Row],[GISD]]="SI","GISD",""),IF(OfertaPlazas[[#This Row],[MASTER]]="SI","MASTER",""))</f>
        <v>GITST/GIB/MASTER</v>
      </c>
      <c r="AE173" s="6" t="s">
        <v>75</v>
      </c>
      <c r="AF173" s="6" t="s">
        <v>75</v>
      </c>
      <c r="AG173" s="6" t="s">
        <v>75</v>
      </c>
      <c r="AH173" s="6" t="s">
        <v>75</v>
      </c>
      <c r="AI173" s="6" t="s">
        <v>75</v>
      </c>
      <c r="AJ173" s="6" t="s">
        <v>75</v>
      </c>
      <c r="AK173" s="6" t="s">
        <v>75</v>
      </c>
      <c r="AL173" s="6" t="s">
        <v>75</v>
      </c>
      <c r="AM173" s="6" t="s">
        <v>75</v>
      </c>
      <c r="AN173" s="6" t="s">
        <v>75</v>
      </c>
      <c r="AO173" s="6" t="s">
        <v>75</v>
      </c>
      <c r="AP173" s="6" t="s">
        <v>75</v>
      </c>
      <c r="AQ173" s="6" t="s">
        <v>75</v>
      </c>
      <c r="AR173" s="6" t="s">
        <v>76</v>
      </c>
      <c r="AS173" s="272" t="s">
        <v>1478</v>
      </c>
      <c r="AT173" s="301"/>
      <c r="AU173" s="40"/>
      <c r="AV173" s="304"/>
      <c r="AW173" s="63"/>
      <c r="AX173" s="6"/>
      <c r="AY173" s="71"/>
      <c r="AZ173" s="71"/>
      <c r="BA173" s="71"/>
      <c r="BB173" s="239"/>
      <c r="BC173" s="71"/>
      <c r="BD173" s="71"/>
      <c r="BE173" s="322"/>
      <c r="BF173" s="322"/>
      <c r="BG173" s="221"/>
      <c r="BH173" s="13"/>
      <c r="BI173" s="19"/>
      <c r="BL173" s="19" t="e">
        <f t="shared" si="5"/>
        <v>#REF!</v>
      </c>
    </row>
    <row r="174" spans="1:64" s="1" customFormat="1" ht="18.75" hidden="1" customHeight="1">
      <c r="A174" s="357">
        <v>173</v>
      </c>
      <c r="B174" s="13" t="s">
        <v>1670</v>
      </c>
      <c r="C174" s="252"/>
      <c r="D174" s="63" t="s">
        <v>1671</v>
      </c>
      <c r="E174" s="6"/>
      <c r="F174" s="6" t="s">
        <v>1504</v>
      </c>
      <c r="G174" s="26"/>
      <c r="H174" s="209"/>
      <c r="I174" s="216"/>
      <c r="J174" s="216"/>
      <c r="K174" s="209"/>
      <c r="L174" s="216"/>
      <c r="M174" s="216"/>
      <c r="N174" s="54" t="s">
        <v>230</v>
      </c>
      <c r="O174" s="6"/>
      <c r="P174" s="6"/>
      <c r="Q174" s="6"/>
      <c r="R174" s="6"/>
      <c r="S174" s="63"/>
      <c r="T174" s="54" t="s">
        <v>72</v>
      </c>
      <c r="U174" s="36">
        <v>3</v>
      </c>
      <c r="V174" s="36">
        <v>10</v>
      </c>
      <c r="W174" s="36"/>
      <c r="X174" s="36"/>
      <c r="Y174" s="6" t="s">
        <v>75</v>
      </c>
      <c r="Z174" s="6" t="s">
        <v>75</v>
      </c>
      <c r="AA174" s="6" t="s">
        <v>75</v>
      </c>
      <c r="AB174" s="6" t="s">
        <v>76</v>
      </c>
      <c r="AC174" s="6" t="s">
        <v>75</v>
      </c>
      <c r="AD174" s="6" t="str">
        <f>_xlfn.TEXTJOIN("/",TRUE,IF(OfertaPlazas[[#This Row],[GITST]]="SI","GITST",""),IF(OfertaPlazas[[#This Row],[GIB]]="SI","GIB",""),IF(OfertaPlazas[[#This Row],[GISD]]="SI","GISD",""),IF(OfertaPlazas[[#This Row],[MASTER]]="SI","MASTER",""))</f>
        <v>GITST/GIB/MASTER</v>
      </c>
      <c r="AE174" s="6" t="s">
        <v>75</v>
      </c>
      <c r="AF174" s="6" t="s">
        <v>75</v>
      </c>
      <c r="AG174" s="6" t="s">
        <v>75</v>
      </c>
      <c r="AH174" s="6" t="s">
        <v>75</v>
      </c>
      <c r="AI174" s="6" t="s">
        <v>75</v>
      </c>
      <c r="AJ174" s="6" t="s">
        <v>75</v>
      </c>
      <c r="AK174" s="6" t="s">
        <v>75</v>
      </c>
      <c r="AL174" s="6" t="s">
        <v>75</v>
      </c>
      <c r="AM174" s="6" t="s">
        <v>75</v>
      </c>
      <c r="AN174" s="6" t="s">
        <v>75</v>
      </c>
      <c r="AO174" s="6" t="s">
        <v>75</v>
      </c>
      <c r="AP174" s="6" t="s">
        <v>75</v>
      </c>
      <c r="AQ174" s="6" t="s">
        <v>75</v>
      </c>
      <c r="AR174" s="6" t="s">
        <v>76</v>
      </c>
      <c r="AS174" s="272" t="s">
        <v>1478</v>
      </c>
      <c r="AT174" s="301"/>
      <c r="AU174" s="13"/>
      <c r="AV174" s="71" t="s">
        <v>1538</v>
      </c>
      <c r="AW174" s="71"/>
      <c r="AX174" s="54"/>
      <c r="AY174" s="72"/>
      <c r="AZ174" s="72"/>
      <c r="BA174" s="72"/>
      <c r="BB174" s="72"/>
      <c r="BC174" s="72"/>
      <c r="BD174" s="72"/>
      <c r="BE174" s="319"/>
      <c r="BF174" s="319"/>
      <c r="BG174" s="63"/>
      <c r="BH174" s="13"/>
      <c r="BI174" s="19"/>
      <c r="BL174" s="19" t="e">
        <f t="shared" si="5"/>
        <v>#REF!</v>
      </c>
    </row>
    <row r="175" spans="1:64" s="143" customFormat="1" ht="20.100000000000001" hidden="1" customHeight="1">
      <c r="A175" s="357">
        <v>174</v>
      </c>
      <c r="B175" s="336" t="s">
        <v>1672</v>
      </c>
      <c r="C175" s="252"/>
      <c r="D175" s="295" t="s">
        <v>1673</v>
      </c>
      <c r="E175" s="6"/>
      <c r="F175" s="6" t="s">
        <v>1674</v>
      </c>
      <c r="G175" s="54"/>
      <c r="H175" s="209" t="s">
        <v>1675</v>
      </c>
      <c r="I175" s="216" t="s">
        <v>1676</v>
      </c>
      <c r="J175" s="216" t="s">
        <v>1676</v>
      </c>
      <c r="K175" s="209" t="s">
        <v>1677</v>
      </c>
      <c r="L175" s="216" t="s">
        <v>1678</v>
      </c>
      <c r="M175" s="216" t="s">
        <v>1678</v>
      </c>
      <c r="N175" s="6" t="s">
        <v>1433</v>
      </c>
      <c r="O175" s="54" t="s">
        <v>70</v>
      </c>
      <c r="P175" s="54" t="s">
        <v>70</v>
      </c>
      <c r="Q175" s="54"/>
      <c r="R175" s="54"/>
      <c r="S175" s="150" t="s">
        <v>194</v>
      </c>
      <c r="T175" s="54" t="s">
        <v>72</v>
      </c>
      <c r="U175" s="36">
        <v>2</v>
      </c>
      <c r="V175" s="36">
        <v>10</v>
      </c>
      <c r="W175" s="36" t="s">
        <v>1679</v>
      </c>
      <c r="X175" s="36" t="s">
        <v>1680</v>
      </c>
      <c r="Y175" s="6" t="s">
        <v>75</v>
      </c>
      <c r="Z175" s="6" t="s">
        <v>75</v>
      </c>
      <c r="AA175" s="6" t="s">
        <v>76</v>
      </c>
      <c r="AB175" s="6" t="s">
        <v>76</v>
      </c>
      <c r="AC175" s="6" t="s">
        <v>76</v>
      </c>
      <c r="AD175" s="6" t="str">
        <f>_xlfn.TEXTJOIN("/",TRUE,IF(OfertaPlazas[[#This Row],[GITST]]="SI","GITST",""),IF(OfertaPlazas[[#This Row],[GIB]]="SI","GIB",""),IF(OfertaPlazas[[#This Row],[GISD]]="SI","GISD",""),IF(OfertaPlazas[[#This Row],[MASTER]]="SI","MASTER",""))</f>
        <v>GITST</v>
      </c>
      <c r="AE175" s="6" t="s">
        <v>76</v>
      </c>
      <c r="AF175" s="6" t="s">
        <v>76</v>
      </c>
      <c r="AG175" s="6" t="s">
        <v>76</v>
      </c>
      <c r="AH175" s="6" t="s">
        <v>75</v>
      </c>
      <c r="AI175" s="6" t="s">
        <v>75</v>
      </c>
      <c r="AJ175" s="6" t="s">
        <v>75</v>
      </c>
      <c r="AK175" s="6" t="s">
        <v>75</v>
      </c>
      <c r="AL175" s="6" t="s">
        <v>75</v>
      </c>
      <c r="AM175" s="6" t="s">
        <v>75</v>
      </c>
      <c r="AN175" s="6" t="s">
        <v>75</v>
      </c>
      <c r="AO175" s="6" t="s">
        <v>76</v>
      </c>
      <c r="AP175" s="6" t="s">
        <v>76</v>
      </c>
      <c r="AQ175" s="6" t="s">
        <v>76</v>
      </c>
      <c r="AR175" s="6" t="s">
        <v>76</v>
      </c>
      <c r="AS175" s="272" t="s">
        <v>1478</v>
      </c>
      <c r="AT175" s="301"/>
      <c r="AU175" s="40" t="s">
        <v>1578</v>
      </c>
      <c r="AV175" s="71" t="s">
        <v>1512</v>
      </c>
      <c r="AW175" s="221"/>
      <c r="AX175" s="54"/>
      <c r="AY175" s="72"/>
      <c r="AZ175" s="72"/>
      <c r="BA175" s="72"/>
      <c r="BB175" s="72"/>
      <c r="BC175" s="72"/>
      <c r="BD175" s="72"/>
      <c r="BE175" s="322"/>
      <c r="BF175" s="322"/>
      <c r="BG175" s="221"/>
      <c r="BH175" s="13"/>
      <c r="BI175" s="19"/>
      <c r="BL175" s="19" t="e">
        <f t="shared" si="5"/>
        <v>#REF!</v>
      </c>
    </row>
    <row r="176" spans="1:64" s="143" customFormat="1" ht="20.100000000000001" hidden="1" customHeight="1">
      <c r="A176" s="357">
        <v>175</v>
      </c>
      <c r="B176" s="13" t="s">
        <v>1681</v>
      </c>
      <c r="C176" s="252"/>
      <c r="D176" s="244" t="s">
        <v>1682</v>
      </c>
      <c r="E176" s="6"/>
      <c r="F176" s="16" t="s">
        <v>1683</v>
      </c>
      <c r="G176" s="26"/>
      <c r="H176" s="214"/>
      <c r="I176" s="222"/>
      <c r="J176" s="222"/>
      <c r="K176" s="214"/>
      <c r="L176" s="222"/>
      <c r="M176" s="222"/>
      <c r="N176" s="16" t="s">
        <v>230</v>
      </c>
      <c r="O176" s="6"/>
      <c r="P176" s="6"/>
      <c r="Q176" s="6"/>
      <c r="R176" s="6"/>
      <c r="S176" s="63"/>
      <c r="T176" s="6" t="s">
        <v>72</v>
      </c>
      <c r="U176" s="36">
        <v>2</v>
      </c>
      <c r="V176" s="36">
        <v>6</v>
      </c>
      <c r="W176" s="36" t="s">
        <v>1593</v>
      </c>
      <c r="X176" s="36" t="s">
        <v>1594</v>
      </c>
      <c r="Y176" s="6" t="s">
        <v>75</v>
      </c>
      <c r="Z176" s="6" t="s">
        <v>75</v>
      </c>
      <c r="AA176" s="6" t="s">
        <v>76</v>
      </c>
      <c r="AB176" s="6" t="s">
        <v>75</v>
      </c>
      <c r="AC176" s="6" t="s">
        <v>75</v>
      </c>
      <c r="AD176" s="6" t="str">
        <f>_xlfn.TEXTJOIN("/",TRUE,IF(OfertaPlazas[[#This Row],[GITST]]="SI","GITST",""),IF(OfertaPlazas[[#This Row],[GIB]]="SI","GIB",""),IF(OfertaPlazas[[#This Row],[GISD]]="SI","GISD",""),IF(OfertaPlazas[[#This Row],[MASTER]]="SI","MASTER",""))</f>
        <v>GITST/GISD/MASTER</v>
      </c>
      <c r="AE176" s="6" t="s">
        <v>75</v>
      </c>
      <c r="AF176" s="6" t="s">
        <v>75</v>
      </c>
      <c r="AG176" s="6" t="s">
        <v>76</v>
      </c>
      <c r="AH176" s="6" t="s">
        <v>75</v>
      </c>
      <c r="AI176" s="6" t="s">
        <v>75</v>
      </c>
      <c r="AJ176" s="6" t="s">
        <v>75</v>
      </c>
      <c r="AK176" s="6" t="s">
        <v>75</v>
      </c>
      <c r="AL176" s="6" t="s">
        <v>76</v>
      </c>
      <c r="AM176" s="6" t="s">
        <v>76</v>
      </c>
      <c r="AN176" s="6" t="s">
        <v>75</v>
      </c>
      <c r="AO176" s="6" t="s">
        <v>75</v>
      </c>
      <c r="AP176" s="6" t="s">
        <v>76</v>
      </c>
      <c r="AQ176" s="6" t="s">
        <v>75</v>
      </c>
      <c r="AR176" s="6" t="s">
        <v>76</v>
      </c>
      <c r="AS176" s="27" t="s">
        <v>173</v>
      </c>
      <c r="AT176" s="301"/>
      <c r="AU176" s="13" t="s">
        <v>1684</v>
      </c>
      <c r="AV176" s="40" t="s">
        <v>1685</v>
      </c>
      <c r="AW176" s="40"/>
      <c r="AX176" s="13"/>
      <c r="AY176" s="72"/>
      <c r="AZ176" s="72"/>
      <c r="BA176" s="72"/>
      <c r="BB176" s="72"/>
      <c r="BC176" s="72"/>
      <c r="BD176" s="72"/>
      <c r="BE176" s="319"/>
      <c r="BF176" s="319"/>
      <c r="BG176" s="63"/>
      <c r="BH176" s="13"/>
      <c r="BI176" s="19"/>
      <c r="BL176" s="19" t="e">
        <f t="shared" si="5"/>
        <v>#REF!</v>
      </c>
    </row>
    <row r="177" spans="1:64" s="143" customFormat="1" ht="20.100000000000001" hidden="1" customHeight="1">
      <c r="A177" s="357">
        <v>176</v>
      </c>
      <c r="B177" s="13" t="s">
        <v>1686</v>
      </c>
      <c r="C177" s="252"/>
      <c r="D177" s="63" t="s">
        <v>1687</v>
      </c>
      <c r="E177" s="6"/>
      <c r="F177" s="6" t="s">
        <v>1688</v>
      </c>
      <c r="G177" s="54"/>
      <c r="H177" s="209"/>
      <c r="I177" s="216"/>
      <c r="J177" s="216"/>
      <c r="K177" s="209"/>
      <c r="L177" s="216"/>
      <c r="M177" s="216"/>
      <c r="N177" s="6" t="s">
        <v>1433</v>
      </c>
      <c r="O177" s="6" t="s">
        <v>70</v>
      </c>
      <c r="P177" s="6" t="s">
        <v>70</v>
      </c>
      <c r="Q177" s="6" t="s">
        <v>76</v>
      </c>
      <c r="R177" s="6" t="s">
        <v>70</v>
      </c>
      <c r="S177" s="150" t="s">
        <v>1434</v>
      </c>
      <c r="T177" s="54" t="s">
        <v>72</v>
      </c>
      <c r="U177" s="36">
        <v>2</v>
      </c>
      <c r="V177" s="36">
        <v>10</v>
      </c>
      <c r="W177" s="36"/>
      <c r="X177" s="36"/>
      <c r="Y177" s="6" t="s">
        <v>75</v>
      </c>
      <c r="Z177" s="6" t="s">
        <v>75</v>
      </c>
      <c r="AA177" s="6" t="s">
        <v>75</v>
      </c>
      <c r="AB177" s="6" t="s">
        <v>76</v>
      </c>
      <c r="AC177" s="6" t="s">
        <v>76</v>
      </c>
      <c r="AD177" s="6" t="str">
        <f>_xlfn.TEXTJOIN("/",TRUE,IF(OfertaPlazas[[#This Row],[GITST]]="SI","GITST",""),IF(OfertaPlazas[[#This Row],[GIB]]="SI","GIB",""),IF(OfertaPlazas[[#This Row],[GISD]]="SI","GISD",""),IF(OfertaPlazas[[#This Row],[MASTER]]="SI","MASTER",""))</f>
        <v>GITST/GIB</v>
      </c>
      <c r="AE177" s="6" t="s">
        <v>76</v>
      </c>
      <c r="AF177" s="6" t="s">
        <v>76</v>
      </c>
      <c r="AG177" s="6" t="s">
        <v>76</v>
      </c>
      <c r="AH177" s="6" t="s">
        <v>75</v>
      </c>
      <c r="AI177" s="6" t="s">
        <v>75</v>
      </c>
      <c r="AJ177" s="6" t="s">
        <v>75</v>
      </c>
      <c r="AK177" s="6" t="s">
        <v>75</v>
      </c>
      <c r="AL177" s="6" t="s">
        <v>75</v>
      </c>
      <c r="AM177" s="6" t="s">
        <v>75</v>
      </c>
      <c r="AN177" s="6" t="s">
        <v>75</v>
      </c>
      <c r="AO177" s="6" t="s">
        <v>76</v>
      </c>
      <c r="AP177" s="6" t="s">
        <v>76</v>
      </c>
      <c r="AQ177" s="6" t="s">
        <v>76</v>
      </c>
      <c r="AR177" s="6" t="s">
        <v>76</v>
      </c>
      <c r="AS177" s="272" t="s">
        <v>1478</v>
      </c>
      <c r="AT177" s="301"/>
      <c r="AU177" s="40" t="s">
        <v>1578</v>
      </c>
      <c r="AV177" s="221" t="s">
        <v>1436</v>
      </c>
      <c r="AW177" s="54"/>
      <c r="AX177" s="54"/>
      <c r="AY177" s="72"/>
      <c r="AZ177" s="72"/>
      <c r="BA177" s="72"/>
      <c r="BB177" s="72"/>
      <c r="BC177" s="72"/>
      <c r="BD177" s="72"/>
      <c r="BE177" s="321"/>
      <c r="BF177" s="321"/>
      <c r="BG177" s="221"/>
      <c r="BH177" s="13"/>
      <c r="BI177" s="19"/>
      <c r="BL177" s="19" t="e">
        <f t="shared" si="5"/>
        <v>#REF!</v>
      </c>
    </row>
    <row r="178" spans="1:64" s="143" customFormat="1" ht="20.100000000000001" hidden="1" customHeight="1">
      <c r="A178" s="357">
        <v>177</v>
      </c>
      <c r="B178" s="336" t="s">
        <v>1689</v>
      </c>
      <c r="C178" s="358"/>
      <c r="D178" s="295" t="s">
        <v>1690</v>
      </c>
      <c r="E178" s="13"/>
      <c r="F178" s="6" t="s">
        <v>1688</v>
      </c>
      <c r="G178" s="6"/>
      <c r="H178" s="216" t="s">
        <v>1691</v>
      </c>
      <c r="I178" s="381" t="s">
        <v>1692</v>
      </c>
      <c r="J178" s="214"/>
      <c r="K178" s="215" t="s">
        <v>1693</v>
      </c>
      <c r="L178" s="222" t="s">
        <v>118</v>
      </c>
      <c r="M178" s="210"/>
      <c r="N178" s="11" t="s">
        <v>230</v>
      </c>
      <c r="O178" s="6" t="s">
        <v>70</v>
      </c>
      <c r="P178" s="6" t="s">
        <v>70</v>
      </c>
      <c r="Q178" s="6" t="s">
        <v>76</v>
      </c>
      <c r="R178" s="6" t="s">
        <v>70</v>
      </c>
      <c r="S178" s="63"/>
      <c r="T178" s="54" t="s">
        <v>72</v>
      </c>
      <c r="U178" s="36">
        <v>2</v>
      </c>
      <c r="V178" s="55">
        <v>10</v>
      </c>
      <c r="W178" s="36" t="s">
        <v>1694</v>
      </c>
      <c r="X178" s="55"/>
      <c r="Y178" s="6" t="s">
        <v>75</v>
      </c>
      <c r="Z178" s="6" t="s">
        <v>75</v>
      </c>
      <c r="AA178" s="6" t="s">
        <v>75</v>
      </c>
      <c r="AB178" s="6" t="s">
        <v>76</v>
      </c>
      <c r="AC178" s="6" t="s">
        <v>75</v>
      </c>
      <c r="AD178" s="6" t="str">
        <f>_xlfn.TEXTJOIN("/",TRUE,IF(OfertaPlazas[[#This Row],[GITST]]="SI","GITST",""),IF(OfertaPlazas[[#This Row],[GIB]]="SI","GIB",""),IF(OfertaPlazas[[#This Row],[GISD]]="SI","GISD",""),IF(OfertaPlazas[[#This Row],[MASTER]]="SI","MASTER",""))</f>
        <v>GITST/GIB/MASTER</v>
      </c>
      <c r="AE178" s="6" t="s">
        <v>75</v>
      </c>
      <c r="AF178" s="6" t="s">
        <v>75</v>
      </c>
      <c r="AG178" s="6" t="s">
        <v>75</v>
      </c>
      <c r="AH178" s="6" t="s">
        <v>75</v>
      </c>
      <c r="AI178" s="6" t="s">
        <v>75</v>
      </c>
      <c r="AJ178" s="6" t="s">
        <v>75</v>
      </c>
      <c r="AK178" s="6" t="s">
        <v>75</v>
      </c>
      <c r="AL178" s="6" t="s">
        <v>75</v>
      </c>
      <c r="AM178" s="6" t="s">
        <v>75</v>
      </c>
      <c r="AN178" s="6" t="s">
        <v>75</v>
      </c>
      <c r="AO178" s="6" t="s">
        <v>75</v>
      </c>
      <c r="AP178" s="6" t="s">
        <v>75</v>
      </c>
      <c r="AQ178" s="6" t="s">
        <v>75</v>
      </c>
      <c r="AR178" s="6" t="s">
        <v>76</v>
      </c>
      <c r="AS178" s="382" t="s">
        <v>1478</v>
      </c>
      <c r="AT178" s="301"/>
      <c r="AU178" s="8"/>
      <c r="AV178" s="359" t="s">
        <v>1669</v>
      </c>
      <c r="AW178" s="80"/>
      <c r="AX178" s="13"/>
      <c r="AY178" s="146"/>
      <c r="AZ178" s="146"/>
      <c r="BA178" s="146"/>
      <c r="BB178" s="146"/>
      <c r="BC178" s="146"/>
      <c r="BD178" s="146"/>
      <c r="BE178" s="128"/>
      <c r="BF178" s="128"/>
      <c r="BG178" s="82"/>
      <c r="BH178" s="13"/>
      <c r="BI178" s="19"/>
      <c r="BL178" s="19"/>
    </row>
    <row r="179" spans="1:64" s="143" customFormat="1" ht="19.5" hidden="1" customHeight="1">
      <c r="A179" s="357">
        <v>177</v>
      </c>
      <c r="B179" s="13" t="s">
        <v>1695</v>
      </c>
      <c r="C179" s="252"/>
      <c r="D179" s="63" t="s">
        <v>1696</v>
      </c>
      <c r="E179" s="71"/>
      <c r="F179" s="16" t="s">
        <v>1697</v>
      </c>
      <c r="G179" s="180"/>
      <c r="H179" s="214"/>
      <c r="I179" s="222"/>
      <c r="J179" s="222"/>
      <c r="K179" s="214"/>
      <c r="L179" s="222"/>
      <c r="M179" s="222"/>
      <c r="N179" s="16" t="s">
        <v>1433</v>
      </c>
      <c r="O179" s="6" t="s">
        <v>70</v>
      </c>
      <c r="P179" s="6" t="s">
        <v>70</v>
      </c>
      <c r="Q179" s="6" t="s">
        <v>70</v>
      </c>
      <c r="R179" s="6"/>
      <c r="S179" s="150" t="s">
        <v>1434</v>
      </c>
      <c r="T179" s="54" t="s">
        <v>72</v>
      </c>
      <c r="U179" s="36">
        <v>2</v>
      </c>
      <c r="V179" s="36">
        <v>5</v>
      </c>
      <c r="W179" s="36" t="s">
        <v>1698</v>
      </c>
      <c r="X179" s="36" t="s">
        <v>1699</v>
      </c>
      <c r="Y179" s="6" t="s">
        <v>75</v>
      </c>
      <c r="Z179" s="6" t="s">
        <v>75</v>
      </c>
      <c r="AA179" s="6" t="s">
        <v>76</v>
      </c>
      <c r="AB179" s="6" t="s">
        <v>75</v>
      </c>
      <c r="AC179" s="6" t="s">
        <v>76</v>
      </c>
      <c r="AD179" s="6" t="str">
        <f>_xlfn.TEXTJOIN("/",TRUE,IF(OfertaPlazas[[#This Row],[GITST]]="SI","GITST",""),IF(OfertaPlazas[[#This Row],[GIB]]="SI","GIB",""),IF(OfertaPlazas[[#This Row],[GISD]]="SI","GISD",""),IF(OfertaPlazas[[#This Row],[MASTER]]="SI","MASTER",""))</f>
        <v>GITST/GISD</v>
      </c>
      <c r="AE179" s="6" t="s">
        <v>76</v>
      </c>
      <c r="AF179" s="6" t="s">
        <v>76</v>
      </c>
      <c r="AG179" s="6" t="s">
        <v>76</v>
      </c>
      <c r="AH179" s="6" t="s">
        <v>75</v>
      </c>
      <c r="AI179" s="6" t="s">
        <v>75</v>
      </c>
      <c r="AJ179" s="6" t="s">
        <v>75</v>
      </c>
      <c r="AK179" s="6" t="s">
        <v>75</v>
      </c>
      <c r="AL179" s="6" t="s">
        <v>75</v>
      </c>
      <c r="AM179" s="6" t="s">
        <v>75</v>
      </c>
      <c r="AN179" s="6" t="s">
        <v>75</v>
      </c>
      <c r="AO179" s="6" t="s">
        <v>76</v>
      </c>
      <c r="AP179" s="6" t="s">
        <v>76</v>
      </c>
      <c r="AQ179" s="6" t="s">
        <v>76</v>
      </c>
      <c r="AR179" s="6" t="s">
        <v>76</v>
      </c>
      <c r="AS179" s="272" t="s">
        <v>1478</v>
      </c>
      <c r="AT179" s="301"/>
      <c r="AU179" s="40" t="s">
        <v>1700</v>
      </c>
      <c r="AV179" s="13" t="s">
        <v>1701</v>
      </c>
      <c r="AW179" s="40"/>
      <c r="AX179" s="13"/>
      <c r="AY179" s="5"/>
      <c r="AZ179" s="5"/>
      <c r="BA179" s="5"/>
      <c r="BB179" s="5"/>
      <c r="BC179" s="5"/>
      <c r="BD179" s="5"/>
      <c r="BE179" s="321"/>
      <c r="BF179" s="321"/>
      <c r="BG179" s="221"/>
      <c r="BH179" s="13"/>
      <c r="BI179" s="19"/>
      <c r="BL179" s="19" t="e">
        <f t="shared" si="5"/>
        <v>#REF!</v>
      </c>
    </row>
    <row r="180" spans="1:64" s="143" customFormat="1" ht="19.5" hidden="1" customHeight="1">
      <c r="A180" s="357">
        <v>178</v>
      </c>
      <c r="B180" s="13" t="s">
        <v>1702</v>
      </c>
      <c r="C180" s="252"/>
      <c r="D180" s="63" t="s">
        <v>1703</v>
      </c>
      <c r="E180" s="6"/>
      <c r="F180" s="6" t="s">
        <v>1475</v>
      </c>
      <c r="G180" s="54"/>
      <c r="H180" s="209"/>
      <c r="I180" s="216"/>
      <c r="J180" s="216"/>
      <c r="K180" s="209"/>
      <c r="L180" s="216"/>
      <c r="M180" s="216"/>
      <c r="N180" s="6" t="s">
        <v>230</v>
      </c>
      <c r="O180" s="6"/>
      <c r="P180" s="6" t="s">
        <v>70</v>
      </c>
      <c r="Q180" s="54" t="s">
        <v>1390</v>
      </c>
      <c r="R180" s="54" t="s">
        <v>1704</v>
      </c>
      <c r="S180" s="150" t="s">
        <v>194</v>
      </c>
      <c r="T180" s="54" t="s">
        <v>72</v>
      </c>
      <c r="U180" s="36">
        <v>1</v>
      </c>
      <c r="V180" s="36">
        <v>12</v>
      </c>
      <c r="W180" s="36" t="s">
        <v>1705</v>
      </c>
      <c r="X180" s="36" t="s">
        <v>1706</v>
      </c>
      <c r="Y180" s="6" t="s">
        <v>75</v>
      </c>
      <c r="Z180" s="6" t="s">
        <v>75</v>
      </c>
      <c r="AA180" s="6" t="s">
        <v>76</v>
      </c>
      <c r="AB180" s="6" t="s">
        <v>76</v>
      </c>
      <c r="AC180" s="6" t="s">
        <v>75</v>
      </c>
      <c r="AD180" s="6" t="str">
        <f>_xlfn.TEXTJOIN("/",TRUE,IF(OfertaPlazas[[#This Row],[GITST]]="SI","GITST",""),IF(OfertaPlazas[[#This Row],[GIB]]="SI","GIB",""),IF(OfertaPlazas[[#This Row],[GISD]]="SI","GISD",""),IF(OfertaPlazas[[#This Row],[MASTER]]="SI","MASTER",""))</f>
        <v>GITST/MASTER</v>
      </c>
      <c r="AE180" s="6" t="s">
        <v>76</v>
      </c>
      <c r="AF180" s="6" t="s">
        <v>76</v>
      </c>
      <c r="AG180" s="6" t="s">
        <v>76</v>
      </c>
      <c r="AH180" s="6" t="s">
        <v>75</v>
      </c>
      <c r="AI180" s="6" t="s">
        <v>75</v>
      </c>
      <c r="AJ180" s="6" t="s">
        <v>75</v>
      </c>
      <c r="AK180" s="6" t="s">
        <v>75</v>
      </c>
      <c r="AL180" s="6" t="s">
        <v>75</v>
      </c>
      <c r="AM180" s="6" t="s">
        <v>75</v>
      </c>
      <c r="AN180" s="6" t="s">
        <v>75</v>
      </c>
      <c r="AO180" s="6" t="s">
        <v>75</v>
      </c>
      <c r="AP180" s="6" t="s">
        <v>75</v>
      </c>
      <c r="AQ180" s="6" t="s">
        <v>75</v>
      </c>
      <c r="AR180" s="6" t="s">
        <v>76</v>
      </c>
      <c r="AS180" s="272" t="s">
        <v>1478</v>
      </c>
      <c r="AT180" s="272"/>
      <c r="AU180" s="13" t="s">
        <v>1707</v>
      </c>
      <c r="AV180" s="71" t="s">
        <v>1708</v>
      </c>
      <c r="AW180" s="71"/>
      <c r="AX180" s="71"/>
      <c r="AY180" s="71"/>
      <c r="AZ180" s="71"/>
      <c r="BA180" s="71"/>
      <c r="BB180" s="71"/>
      <c r="BC180" s="71"/>
      <c r="BD180" s="71"/>
      <c r="BE180" s="322"/>
      <c r="BF180" s="322"/>
      <c r="BG180" s="221"/>
      <c r="BH180" s="13"/>
      <c r="BI180" s="19"/>
      <c r="BL180" s="19" t="e">
        <f t="shared" si="5"/>
        <v>#REF!</v>
      </c>
    </row>
    <row r="181" spans="1:64" s="143" customFormat="1" ht="19.5" hidden="1" customHeight="1">
      <c r="A181" s="357">
        <v>179</v>
      </c>
      <c r="B181" s="13" t="s">
        <v>1709</v>
      </c>
      <c r="C181" s="252"/>
      <c r="D181" s="63" t="s">
        <v>1710</v>
      </c>
      <c r="E181" s="6"/>
      <c r="F181" s="6" t="s">
        <v>1406</v>
      </c>
      <c r="G181" s="6"/>
      <c r="H181" s="211" t="s">
        <v>1328</v>
      </c>
      <c r="I181" s="306" t="s">
        <v>153</v>
      </c>
      <c r="J181" s="306" t="s">
        <v>169</v>
      </c>
      <c r="K181" s="211" t="s">
        <v>725</v>
      </c>
      <c r="L181" s="306" t="s">
        <v>141</v>
      </c>
      <c r="M181" s="306" t="s">
        <v>142</v>
      </c>
      <c r="N181" s="6" t="s">
        <v>230</v>
      </c>
      <c r="O181" s="6" t="s">
        <v>70</v>
      </c>
      <c r="P181" s="6" t="s">
        <v>70</v>
      </c>
      <c r="Q181" s="6" t="s">
        <v>70</v>
      </c>
      <c r="R181" s="13"/>
      <c r="S181" s="150" t="s">
        <v>1434</v>
      </c>
      <c r="T181" s="54" t="s">
        <v>1390</v>
      </c>
      <c r="U181" s="36">
        <v>2</v>
      </c>
      <c r="V181" s="36">
        <v>10</v>
      </c>
      <c r="W181" s="36" t="s">
        <v>1711</v>
      </c>
      <c r="X181" s="36" t="s">
        <v>1712</v>
      </c>
      <c r="Y181" s="6" t="s">
        <v>75</v>
      </c>
      <c r="Z181" s="6" t="s">
        <v>75</v>
      </c>
      <c r="AA181" s="6" t="s">
        <v>76</v>
      </c>
      <c r="AB181" s="6" t="s">
        <v>75</v>
      </c>
      <c r="AC181" s="6" t="s">
        <v>75</v>
      </c>
      <c r="AD181" s="6" t="str">
        <f>_xlfn.TEXTJOIN("/",TRUE,IF(OfertaPlazas[[#This Row],[GITST]]="SI","GITST",""),IF(OfertaPlazas[[#This Row],[GIB]]="SI","GIB",""),IF(OfertaPlazas[[#This Row],[GISD]]="SI","GISD",""),IF(OfertaPlazas[[#This Row],[MASTER]]="SI","MASTER",""))</f>
        <v>GITST/GISD/MASTER</v>
      </c>
      <c r="AE181" s="6" t="s">
        <v>75</v>
      </c>
      <c r="AF181" s="6" t="s">
        <v>75</v>
      </c>
      <c r="AG181" s="6" t="s">
        <v>75</v>
      </c>
      <c r="AH181" s="6" t="s">
        <v>75</v>
      </c>
      <c r="AI181" s="6" t="s">
        <v>75</v>
      </c>
      <c r="AJ181" s="6" t="s">
        <v>75</v>
      </c>
      <c r="AK181" s="6" t="s">
        <v>75</v>
      </c>
      <c r="AL181" s="6" t="s">
        <v>75</v>
      </c>
      <c r="AM181" s="6" t="s">
        <v>75</v>
      </c>
      <c r="AN181" s="6" t="s">
        <v>75</v>
      </c>
      <c r="AO181" s="6" t="s">
        <v>75</v>
      </c>
      <c r="AP181" s="6" t="s">
        <v>75</v>
      </c>
      <c r="AQ181" s="6" t="s">
        <v>75</v>
      </c>
      <c r="AR181" s="6" t="s">
        <v>76</v>
      </c>
      <c r="AS181" s="185" t="s">
        <v>1422</v>
      </c>
      <c r="AT181" s="301"/>
      <c r="AU181" s="40" t="s">
        <v>1713</v>
      </c>
      <c r="AV181" s="71" t="s">
        <v>1714</v>
      </c>
      <c r="AW181" s="71"/>
      <c r="AX181" s="71"/>
      <c r="AY181" s="71"/>
      <c r="AZ181" s="71"/>
      <c r="BA181" s="71"/>
      <c r="BB181" s="71"/>
      <c r="BC181" s="71"/>
      <c r="BD181" s="71"/>
      <c r="BE181" s="322"/>
      <c r="BF181" s="322"/>
      <c r="BG181" s="221"/>
      <c r="BH181" s="13"/>
      <c r="BI181" s="19"/>
      <c r="BL181" s="19" t="e">
        <f t="shared" si="5"/>
        <v>#REF!</v>
      </c>
    </row>
    <row r="182" spans="1:64" s="143" customFormat="1" ht="19.5" hidden="1" customHeight="1">
      <c r="A182" s="357">
        <v>180</v>
      </c>
      <c r="B182" s="13" t="s">
        <v>1715</v>
      </c>
      <c r="C182" s="252"/>
      <c r="D182" s="63" t="s">
        <v>1716</v>
      </c>
      <c r="E182" s="6"/>
      <c r="F182" s="6" t="s">
        <v>1582</v>
      </c>
      <c r="G182" s="54"/>
      <c r="H182" s="209"/>
      <c r="I182" s="216"/>
      <c r="J182" s="216"/>
      <c r="K182" s="209" t="s">
        <v>314</v>
      </c>
      <c r="L182" s="216"/>
      <c r="M182" s="216"/>
      <c r="N182" s="6" t="s">
        <v>230</v>
      </c>
      <c r="O182" s="54"/>
      <c r="P182" s="54"/>
      <c r="Q182" s="54"/>
      <c r="R182" s="54"/>
      <c r="S182" s="63"/>
      <c r="T182" s="54" t="s">
        <v>72</v>
      </c>
      <c r="U182" s="36">
        <v>1</v>
      </c>
      <c r="V182" s="36">
        <v>10</v>
      </c>
      <c r="W182" s="36" t="s">
        <v>1717</v>
      </c>
      <c r="X182" s="36" t="s">
        <v>1718</v>
      </c>
      <c r="Y182" s="6" t="s">
        <v>75</v>
      </c>
      <c r="Z182" s="6" t="s">
        <v>75</v>
      </c>
      <c r="AA182" s="6" t="s">
        <v>76</v>
      </c>
      <c r="AB182" s="6" t="s">
        <v>76</v>
      </c>
      <c r="AC182" s="6" t="s">
        <v>75</v>
      </c>
      <c r="AD182" s="6" t="str">
        <f>_xlfn.TEXTJOIN("/",TRUE,IF(OfertaPlazas[[#This Row],[GITST]]="SI","GITST",""),IF(OfertaPlazas[[#This Row],[GIB]]="SI","GIB",""),IF(OfertaPlazas[[#This Row],[GISD]]="SI","GISD",""),IF(OfertaPlazas[[#This Row],[MASTER]]="SI","MASTER",""))</f>
        <v>GITST/MASTER</v>
      </c>
      <c r="AE182" s="6" t="s">
        <v>75</v>
      </c>
      <c r="AF182" s="6" t="s">
        <v>75</v>
      </c>
      <c r="AG182" s="6" t="s">
        <v>75</v>
      </c>
      <c r="AH182" s="6" t="s">
        <v>75</v>
      </c>
      <c r="AI182" s="6" t="s">
        <v>75</v>
      </c>
      <c r="AJ182" s="6" t="s">
        <v>75</v>
      </c>
      <c r="AK182" s="6" t="s">
        <v>75</v>
      </c>
      <c r="AL182" s="6" t="s">
        <v>75</v>
      </c>
      <c r="AM182" s="6" t="s">
        <v>75</v>
      </c>
      <c r="AN182" s="6" t="s">
        <v>75</v>
      </c>
      <c r="AO182" s="6" t="s">
        <v>75</v>
      </c>
      <c r="AP182" s="6" t="s">
        <v>75</v>
      </c>
      <c r="AQ182" s="6" t="s">
        <v>75</v>
      </c>
      <c r="AR182" s="6" t="s">
        <v>76</v>
      </c>
      <c r="AS182" s="272" t="s">
        <v>1478</v>
      </c>
      <c r="AT182" s="301"/>
      <c r="AU182" s="40"/>
      <c r="AV182" s="71" t="s">
        <v>1719</v>
      </c>
      <c r="AW182" s="71"/>
      <c r="AX182" s="71"/>
      <c r="AY182" s="71"/>
      <c r="AZ182" s="71"/>
      <c r="BA182" s="71"/>
      <c r="BB182" s="71"/>
      <c r="BC182" s="71"/>
      <c r="BD182" s="71"/>
      <c r="BE182" s="322"/>
      <c r="BF182" s="322"/>
      <c r="BG182" s="221"/>
      <c r="BH182" s="13"/>
      <c r="BI182" s="19"/>
      <c r="BL182" s="19" t="e">
        <f t="shared" si="5"/>
        <v>#REF!</v>
      </c>
    </row>
    <row r="183" spans="1:64" s="143" customFormat="1" ht="19.5" hidden="1" customHeight="1">
      <c r="A183" s="357">
        <v>181</v>
      </c>
      <c r="B183" s="72" t="s">
        <v>1720</v>
      </c>
      <c r="C183" s="252"/>
      <c r="D183" s="63" t="s">
        <v>1721</v>
      </c>
      <c r="E183" s="13"/>
      <c r="F183" s="6" t="s">
        <v>1639</v>
      </c>
      <c r="G183" s="54"/>
      <c r="H183" s="216"/>
      <c r="I183" s="216"/>
      <c r="J183" s="216"/>
      <c r="K183" s="216"/>
      <c r="L183" s="216"/>
      <c r="M183" s="216"/>
      <c r="N183" s="6" t="s">
        <v>1640</v>
      </c>
      <c r="O183" s="26"/>
      <c r="P183" s="26"/>
      <c r="Q183" s="26"/>
      <c r="R183" s="54"/>
      <c r="S183" s="6"/>
      <c r="T183" s="6" t="s">
        <v>76</v>
      </c>
      <c r="U183" s="36">
        <v>2</v>
      </c>
      <c r="V183" s="36">
        <v>9</v>
      </c>
      <c r="W183" s="36"/>
      <c r="X183" s="36"/>
      <c r="Y183" s="6" t="s">
        <v>75</v>
      </c>
      <c r="Z183" s="6" t="s">
        <v>76</v>
      </c>
      <c r="AA183" s="6" t="s">
        <v>75</v>
      </c>
      <c r="AB183" s="54" t="s">
        <v>75</v>
      </c>
      <c r="AC183" s="6" t="s">
        <v>76</v>
      </c>
      <c r="AD183" s="6" t="str">
        <f>_xlfn.TEXTJOIN("/",TRUE,IF(OfertaPlazas[[#This Row],[GITST]]="SI","GITST",""),IF(OfertaPlazas[[#This Row],[GIB]]="SI","GIB",""),IF(OfertaPlazas[[#This Row],[GISD]]="SI","GISD",""),IF(OfertaPlazas[[#This Row],[MASTER]]="SI","MASTER",""))</f>
        <v>GIB/GISD</v>
      </c>
      <c r="AE183" s="6" t="s">
        <v>75</v>
      </c>
      <c r="AF183" s="6" t="s">
        <v>75</v>
      </c>
      <c r="AG183" s="6" t="s">
        <v>75</v>
      </c>
      <c r="AH183" s="16" t="s">
        <v>75</v>
      </c>
      <c r="AI183" s="16" t="s">
        <v>75</v>
      </c>
      <c r="AJ183" s="16" t="s">
        <v>75</v>
      </c>
      <c r="AK183" s="16" t="s">
        <v>75</v>
      </c>
      <c r="AL183" s="16" t="s">
        <v>75</v>
      </c>
      <c r="AM183" s="16" t="s">
        <v>75</v>
      </c>
      <c r="AN183" s="16" t="s">
        <v>75</v>
      </c>
      <c r="AO183" s="6" t="s">
        <v>76</v>
      </c>
      <c r="AP183" s="6" t="s">
        <v>76</v>
      </c>
      <c r="AQ183" s="6" t="s">
        <v>76</v>
      </c>
      <c r="AR183" s="6" t="s">
        <v>76</v>
      </c>
      <c r="AS183" s="272" t="s">
        <v>1478</v>
      </c>
      <c r="AT183" s="301"/>
      <c r="AU183" s="63" t="s">
        <v>1722</v>
      </c>
      <c r="AV183" s="71"/>
      <c r="AW183" s="71"/>
      <c r="AX183" s="71"/>
      <c r="AY183" s="71"/>
      <c r="AZ183" s="71"/>
      <c r="BA183" s="71"/>
      <c r="BB183" s="71"/>
      <c r="BC183" s="71"/>
      <c r="BD183" s="71"/>
      <c r="BE183" s="319"/>
      <c r="BF183" s="323"/>
      <c r="BG183" s="324"/>
      <c r="BH183" s="13"/>
      <c r="BI183" s="19"/>
    </row>
    <row r="184" spans="1:64" s="149" customFormat="1" ht="19.5" hidden="1" customHeight="1">
      <c r="A184" s="357">
        <v>182</v>
      </c>
      <c r="B184" s="72" t="s">
        <v>1723</v>
      </c>
      <c r="C184" s="252"/>
      <c r="D184" s="63" t="s">
        <v>1721</v>
      </c>
      <c r="E184" s="13"/>
      <c r="F184" s="6" t="s">
        <v>1639</v>
      </c>
      <c r="G184" s="54"/>
      <c r="H184" s="216"/>
      <c r="I184" s="216"/>
      <c r="J184" s="216"/>
      <c r="K184" s="216"/>
      <c r="L184" s="216"/>
      <c r="M184" s="216"/>
      <c r="N184" s="6" t="s">
        <v>1640</v>
      </c>
      <c r="O184" s="26"/>
      <c r="P184" s="26"/>
      <c r="Q184" s="26"/>
      <c r="R184" s="6" t="s">
        <v>70</v>
      </c>
      <c r="S184" s="6"/>
      <c r="T184" s="6" t="s">
        <v>76</v>
      </c>
      <c r="U184" s="36">
        <v>2</v>
      </c>
      <c r="V184" s="36">
        <v>9</v>
      </c>
      <c r="W184" s="36"/>
      <c r="X184" s="36"/>
      <c r="Y184" s="6" t="s">
        <v>75</v>
      </c>
      <c r="Z184" s="6" t="s">
        <v>76</v>
      </c>
      <c r="AA184" s="6" t="s">
        <v>75</v>
      </c>
      <c r="AB184" s="54" t="s">
        <v>76</v>
      </c>
      <c r="AC184" s="6" t="s">
        <v>76</v>
      </c>
      <c r="AD184" s="6" t="str">
        <f>_xlfn.TEXTJOIN("/",TRUE,IF(OfertaPlazas[[#This Row],[GITST]]="SI","GITST",""),IF(OfertaPlazas[[#This Row],[GIB]]="SI","GIB",""),IF(OfertaPlazas[[#This Row],[GISD]]="SI","GISD",""),IF(OfertaPlazas[[#This Row],[MASTER]]="SI","MASTER",""))</f>
        <v>GIB</v>
      </c>
      <c r="AE184" s="6" t="s">
        <v>75</v>
      </c>
      <c r="AF184" s="6" t="s">
        <v>75</v>
      </c>
      <c r="AG184" s="6" t="s">
        <v>75</v>
      </c>
      <c r="AH184" s="6" t="s">
        <v>75</v>
      </c>
      <c r="AI184" s="6" t="s">
        <v>75</v>
      </c>
      <c r="AJ184" s="6" t="s">
        <v>75</v>
      </c>
      <c r="AK184" s="6" t="s">
        <v>75</v>
      </c>
      <c r="AL184" s="6" t="s">
        <v>75</v>
      </c>
      <c r="AM184" s="6" t="s">
        <v>75</v>
      </c>
      <c r="AN184" s="6" t="s">
        <v>75</v>
      </c>
      <c r="AO184" s="6" t="s">
        <v>76</v>
      </c>
      <c r="AP184" s="6" t="s">
        <v>76</v>
      </c>
      <c r="AQ184" s="6" t="s">
        <v>76</v>
      </c>
      <c r="AR184" s="6" t="s">
        <v>76</v>
      </c>
      <c r="AS184" s="272" t="s">
        <v>1478</v>
      </c>
      <c r="AT184" s="301"/>
      <c r="AU184" s="63"/>
      <c r="AV184" s="71"/>
      <c r="AW184" s="71"/>
      <c r="AX184" s="71"/>
      <c r="AY184" s="71"/>
      <c r="AZ184" s="71"/>
      <c r="BA184" s="71"/>
      <c r="BB184" s="71"/>
      <c r="BC184" s="71"/>
      <c r="BD184" s="71"/>
      <c r="BE184" s="319"/>
      <c r="BF184" s="323"/>
      <c r="BG184" s="324"/>
      <c r="BH184" s="6"/>
      <c r="BI184" s="53"/>
      <c r="BL184" s="19" t="e">
        <f>VLOOKUP(E184,#REF!,1,FALSE)</f>
        <v>#REF!</v>
      </c>
    </row>
    <row r="185" spans="1:64" s="149" customFormat="1" ht="19.5" hidden="1" customHeight="1">
      <c r="A185" s="357">
        <v>183</v>
      </c>
      <c r="B185" s="273" t="s">
        <v>1724</v>
      </c>
      <c r="C185" s="252"/>
      <c r="D185" s="63" t="s">
        <v>1725</v>
      </c>
      <c r="E185" s="13"/>
      <c r="F185" s="6" t="s">
        <v>1639</v>
      </c>
      <c r="G185" s="54"/>
      <c r="H185" s="216"/>
      <c r="I185" s="216"/>
      <c r="J185" s="216"/>
      <c r="K185" s="216"/>
      <c r="L185" s="216"/>
      <c r="M185" s="216"/>
      <c r="N185" s="6" t="s">
        <v>1640</v>
      </c>
      <c r="O185" s="26"/>
      <c r="P185" s="26"/>
      <c r="Q185" s="26"/>
      <c r="R185" s="54"/>
      <c r="S185" s="58"/>
      <c r="T185" s="6" t="s">
        <v>76</v>
      </c>
      <c r="U185" s="36">
        <v>1</v>
      </c>
      <c r="V185" s="36">
        <v>9</v>
      </c>
      <c r="W185" s="36"/>
      <c r="X185" s="36"/>
      <c r="Y185" s="6" t="s">
        <v>75</v>
      </c>
      <c r="Z185" s="6" t="s">
        <v>75</v>
      </c>
      <c r="AA185" s="6" t="s">
        <v>76</v>
      </c>
      <c r="AB185" s="54" t="s">
        <v>76</v>
      </c>
      <c r="AC185" s="6" t="s">
        <v>76</v>
      </c>
      <c r="AD185" s="6" t="str">
        <f>_xlfn.TEXTJOIN("/",TRUE,IF(OfertaPlazas[[#This Row],[GITST]]="SI","GITST",""),IF(OfertaPlazas[[#This Row],[GIB]]="SI","GIB",""),IF(OfertaPlazas[[#This Row],[GISD]]="SI","GISD",""),IF(OfertaPlazas[[#This Row],[MASTER]]="SI","MASTER",""))</f>
        <v>GITST</v>
      </c>
      <c r="AE185" s="6" t="s">
        <v>75</v>
      </c>
      <c r="AF185" s="6" t="s">
        <v>75</v>
      </c>
      <c r="AG185" s="6" t="s">
        <v>75</v>
      </c>
      <c r="AH185" s="6" t="s">
        <v>75</v>
      </c>
      <c r="AI185" s="6" t="s">
        <v>75</v>
      </c>
      <c r="AJ185" s="6" t="s">
        <v>75</v>
      </c>
      <c r="AK185" s="6" t="s">
        <v>75</v>
      </c>
      <c r="AL185" s="6" t="s">
        <v>75</v>
      </c>
      <c r="AM185" s="6" t="s">
        <v>75</v>
      </c>
      <c r="AN185" s="6" t="s">
        <v>75</v>
      </c>
      <c r="AO185" s="6" t="s">
        <v>76</v>
      </c>
      <c r="AP185" s="6" t="s">
        <v>76</v>
      </c>
      <c r="AQ185" s="6" t="s">
        <v>76</v>
      </c>
      <c r="AR185" s="6" t="s">
        <v>76</v>
      </c>
      <c r="AS185" s="272" t="s">
        <v>1478</v>
      </c>
      <c r="AT185" s="301"/>
      <c r="AU185" s="63"/>
      <c r="AV185" s="71"/>
      <c r="AW185" s="71"/>
      <c r="AX185" s="71"/>
      <c r="AY185" s="71"/>
      <c r="AZ185" s="71"/>
      <c r="BA185" s="71"/>
      <c r="BB185" s="71"/>
      <c r="BC185" s="71"/>
      <c r="BD185" s="71"/>
      <c r="BE185" s="319"/>
      <c r="BF185" s="323"/>
      <c r="BG185" s="324"/>
      <c r="BH185" s="44"/>
      <c r="BI185" s="51"/>
      <c r="BL185" s="19" t="e">
        <f>VLOOKUP(E185,#REF!,1,FALSE)</f>
        <v>#REF!</v>
      </c>
    </row>
    <row r="186" spans="1:64" s="149" customFormat="1" ht="19.5" hidden="1" customHeight="1">
      <c r="A186" s="357">
        <v>184</v>
      </c>
      <c r="B186" s="72" t="s">
        <v>1726</v>
      </c>
      <c r="C186" s="252"/>
      <c r="D186" s="63" t="s">
        <v>1727</v>
      </c>
      <c r="E186" s="13"/>
      <c r="F186" s="6" t="s">
        <v>1639</v>
      </c>
      <c r="G186" s="26"/>
      <c r="H186" s="216"/>
      <c r="I186" s="216"/>
      <c r="J186" s="216"/>
      <c r="K186" s="216"/>
      <c r="L186" s="216"/>
      <c r="M186" s="216"/>
      <c r="N186" s="6" t="s">
        <v>1640</v>
      </c>
      <c r="O186" s="180"/>
      <c r="P186" s="180"/>
      <c r="Q186" s="180"/>
      <c r="R186" s="180"/>
      <c r="S186" s="153"/>
      <c r="T186" s="6" t="s">
        <v>76</v>
      </c>
      <c r="U186" s="36">
        <v>5</v>
      </c>
      <c r="V186" s="36">
        <v>9</v>
      </c>
      <c r="W186" s="36"/>
      <c r="X186" s="36"/>
      <c r="Y186" s="6" t="s">
        <v>75</v>
      </c>
      <c r="Z186" s="6" t="s">
        <v>75</v>
      </c>
      <c r="AA186" s="6" t="s">
        <v>76</v>
      </c>
      <c r="AB186" s="6" t="s">
        <v>76</v>
      </c>
      <c r="AC186" s="6" t="s">
        <v>76</v>
      </c>
      <c r="AD186" s="6" t="str">
        <f>_xlfn.TEXTJOIN("/",TRUE,IF(OfertaPlazas[[#This Row],[GITST]]="SI","GITST",""),IF(OfertaPlazas[[#This Row],[GIB]]="SI","GIB",""),IF(OfertaPlazas[[#This Row],[GISD]]="SI","GISD",""),IF(OfertaPlazas[[#This Row],[MASTER]]="SI","MASTER",""))</f>
        <v>GITST</v>
      </c>
      <c r="AE186" s="6" t="s">
        <v>75</v>
      </c>
      <c r="AF186" s="6" t="s">
        <v>75</v>
      </c>
      <c r="AG186" s="6" t="s">
        <v>75</v>
      </c>
      <c r="AH186" s="16" t="s">
        <v>75</v>
      </c>
      <c r="AI186" s="16" t="s">
        <v>75</v>
      </c>
      <c r="AJ186" s="16" t="s">
        <v>75</v>
      </c>
      <c r="AK186" s="16" t="s">
        <v>75</v>
      </c>
      <c r="AL186" s="16" t="s">
        <v>75</v>
      </c>
      <c r="AM186" s="16" t="s">
        <v>75</v>
      </c>
      <c r="AN186" s="16" t="s">
        <v>75</v>
      </c>
      <c r="AO186" s="6" t="s">
        <v>75</v>
      </c>
      <c r="AP186" s="6" t="s">
        <v>75</v>
      </c>
      <c r="AQ186" s="6" t="s">
        <v>75</v>
      </c>
      <c r="AR186" s="6" t="s">
        <v>76</v>
      </c>
      <c r="AS186" s="272" t="s">
        <v>1478</v>
      </c>
      <c r="AT186" s="301"/>
      <c r="AU186" s="63"/>
      <c r="AV186" s="71" t="s">
        <v>1728</v>
      </c>
      <c r="AW186" s="71"/>
      <c r="AX186" s="71"/>
      <c r="AY186" s="54"/>
      <c r="AZ186" s="54"/>
      <c r="BA186" s="54"/>
      <c r="BB186" s="54"/>
      <c r="BC186" s="54"/>
      <c r="BD186" s="54"/>
      <c r="BE186" s="354"/>
      <c r="BF186" s="355"/>
      <c r="BG186" s="356"/>
      <c r="BH186" s="71"/>
      <c r="BI186" s="7"/>
      <c r="BL186" s="19" t="e">
        <f>VLOOKUP(E186,#REF!,1,FALSE)</f>
        <v>#REF!</v>
      </c>
    </row>
    <row r="187" spans="1:64" s="64" customFormat="1" ht="19.5" hidden="1" customHeight="1">
      <c r="A187" s="357">
        <v>185</v>
      </c>
      <c r="B187" s="13" t="s">
        <v>1729</v>
      </c>
      <c r="C187" s="252" t="s">
        <v>1730</v>
      </c>
      <c r="D187" s="63" t="s">
        <v>1731</v>
      </c>
      <c r="E187" s="6" t="s">
        <v>1732</v>
      </c>
      <c r="F187" s="6" t="s">
        <v>462</v>
      </c>
      <c r="G187" s="54"/>
      <c r="H187" s="209" t="s">
        <v>1733</v>
      </c>
      <c r="I187" s="216" t="s">
        <v>1734</v>
      </c>
      <c r="J187" s="216" t="s">
        <v>1735</v>
      </c>
      <c r="K187" s="209" t="s">
        <v>1736</v>
      </c>
      <c r="L187" s="216" t="s">
        <v>1211</v>
      </c>
      <c r="M187" s="216" t="s">
        <v>1737</v>
      </c>
      <c r="N187" s="6" t="s">
        <v>69</v>
      </c>
      <c r="O187" s="6"/>
      <c r="P187" s="6" t="s">
        <v>70</v>
      </c>
      <c r="Q187" s="6" t="s">
        <v>70</v>
      </c>
      <c r="R187" s="6"/>
      <c r="S187" s="150" t="s">
        <v>479</v>
      </c>
      <c r="T187" s="6" t="s">
        <v>72</v>
      </c>
      <c r="U187" s="36">
        <v>2</v>
      </c>
      <c r="V187" s="36">
        <v>10</v>
      </c>
      <c r="W187" s="36" t="s">
        <v>1738</v>
      </c>
      <c r="X187" s="36" t="s">
        <v>1739</v>
      </c>
      <c r="Y187" s="6" t="s">
        <v>75</v>
      </c>
      <c r="Z187" s="6" t="s">
        <v>75</v>
      </c>
      <c r="AA187" s="54" t="s">
        <v>76</v>
      </c>
      <c r="AB187" s="6" t="s">
        <v>75</v>
      </c>
      <c r="AC187" s="6" t="s">
        <v>75</v>
      </c>
      <c r="AD187" s="6" t="str">
        <f>_xlfn.TEXTJOIN("/",TRUE,IF(OfertaPlazas[[#This Row],[GITST]]="SI","GITST",""),IF(OfertaPlazas[[#This Row],[GIB]]="SI","GIB",""),IF(OfertaPlazas[[#This Row],[GISD]]="SI","GISD",""),IF(OfertaPlazas[[#This Row],[MASTER]]="SI","MASTER",""))</f>
        <v>GITST/GISD/MASTER</v>
      </c>
      <c r="AE187" s="6" t="s">
        <v>75</v>
      </c>
      <c r="AF187" s="6" t="s">
        <v>75</v>
      </c>
      <c r="AG187" s="6" t="s">
        <v>75</v>
      </c>
      <c r="AH187" s="6" t="s">
        <v>75</v>
      </c>
      <c r="AI187" s="6" t="s">
        <v>75</v>
      </c>
      <c r="AJ187" s="6" t="s">
        <v>75</v>
      </c>
      <c r="AK187" s="6" t="s">
        <v>75</v>
      </c>
      <c r="AL187" s="6" t="s">
        <v>75</v>
      </c>
      <c r="AM187" s="6" t="s">
        <v>75</v>
      </c>
      <c r="AN187" s="6" t="s">
        <v>75</v>
      </c>
      <c r="AO187" s="6" t="s">
        <v>75</v>
      </c>
      <c r="AP187" s="6" t="s">
        <v>75</v>
      </c>
      <c r="AQ187" s="6" t="s">
        <v>75</v>
      </c>
      <c r="AR187" s="6" t="s">
        <v>76</v>
      </c>
      <c r="AS187" s="27" t="s">
        <v>756</v>
      </c>
      <c r="AT187" s="301"/>
      <c r="AU187" s="13" t="s">
        <v>1740</v>
      </c>
      <c r="AV187" s="13" t="s">
        <v>1741</v>
      </c>
      <c r="AW187" s="13"/>
      <c r="AX187" s="13"/>
      <c r="AY187" s="91"/>
      <c r="AZ187" s="91"/>
      <c r="BA187" s="91"/>
      <c r="BB187" s="91"/>
      <c r="BC187" s="91"/>
      <c r="BD187" s="91"/>
      <c r="BE187" s="319"/>
      <c r="BF187" s="320"/>
      <c r="BG187" s="63"/>
      <c r="BH187" s="13"/>
      <c r="BI187" s="19"/>
    </row>
    <row r="188" spans="1:64" s="64" customFormat="1" ht="19.5" hidden="1" customHeight="1">
      <c r="A188" s="357">
        <v>186</v>
      </c>
      <c r="B188" s="293" t="s">
        <v>1742</v>
      </c>
      <c r="C188" s="252" t="s">
        <v>1743</v>
      </c>
      <c r="D188" s="245" t="s">
        <v>1744</v>
      </c>
      <c r="E188" s="22" t="s">
        <v>1745</v>
      </c>
      <c r="F188" s="6" t="s">
        <v>1746</v>
      </c>
      <c r="G188" s="6"/>
      <c r="H188" s="209"/>
      <c r="I188" s="216"/>
      <c r="J188" s="216"/>
      <c r="K188" s="209"/>
      <c r="L188" s="216"/>
      <c r="M188" s="216"/>
      <c r="N188" s="6" t="s">
        <v>69</v>
      </c>
      <c r="O188" s="6" t="s">
        <v>75</v>
      </c>
      <c r="P188" s="6"/>
      <c r="Q188" s="6"/>
      <c r="R188" s="6"/>
      <c r="S188" s="150" t="s">
        <v>830</v>
      </c>
      <c r="T188" s="6" t="s">
        <v>75</v>
      </c>
      <c r="U188" s="36"/>
      <c r="V188" s="36"/>
      <c r="W188" s="298"/>
      <c r="X188" s="36"/>
      <c r="Y188" s="6" t="s">
        <v>75</v>
      </c>
      <c r="Z188" s="6" t="s">
        <v>75</v>
      </c>
      <c r="AA188" s="6" t="s">
        <v>76</v>
      </c>
      <c r="AB188" s="6" t="s">
        <v>76</v>
      </c>
      <c r="AC188" s="6" t="s">
        <v>75</v>
      </c>
      <c r="AD188" s="6" t="str">
        <f>_xlfn.TEXTJOIN("/",TRUE,IF(OfertaPlazas[[#This Row],[GITST]]="SI","GITST",""),IF(OfertaPlazas[[#This Row],[GIB]]="SI","GIB",""),IF(OfertaPlazas[[#This Row],[GISD]]="SI","GISD",""),IF(OfertaPlazas[[#This Row],[MASTER]]="SI","MASTER",""))</f>
        <v>GITST/MASTER</v>
      </c>
      <c r="AE188" s="6" t="s">
        <v>75</v>
      </c>
      <c r="AF188" s="6" t="s">
        <v>75</v>
      </c>
      <c r="AG188" s="6" t="s">
        <v>75</v>
      </c>
      <c r="AH188" s="6" t="s">
        <v>75</v>
      </c>
      <c r="AI188" s="6" t="s">
        <v>75</v>
      </c>
      <c r="AJ188" s="6" t="s">
        <v>75</v>
      </c>
      <c r="AK188" s="6" t="s">
        <v>75</v>
      </c>
      <c r="AL188" s="6" t="s">
        <v>75</v>
      </c>
      <c r="AM188" s="6" t="s">
        <v>75</v>
      </c>
      <c r="AN188" s="6" t="s">
        <v>75</v>
      </c>
      <c r="AO188" s="6" t="s">
        <v>75</v>
      </c>
      <c r="AP188" s="6" t="s">
        <v>75</v>
      </c>
      <c r="AQ188" s="6" t="s">
        <v>75</v>
      </c>
      <c r="AR188" s="6" t="s">
        <v>76</v>
      </c>
      <c r="AS188" s="27" t="s">
        <v>173</v>
      </c>
      <c r="AT188" s="301"/>
      <c r="AU188" s="259"/>
      <c r="AV188" s="13"/>
      <c r="AW188" s="13"/>
      <c r="AX188" s="13"/>
      <c r="AY188" s="90"/>
      <c r="AZ188" s="90"/>
      <c r="BA188" s="90"/>
      <c r="BB188" s="90"/>
      <c r="BC188" s="90"/>
      <c r="BD188" s="90"/>
      <c r="BE188" s="319"/>
      <c r="BF188" s="319"/>
      <c r="BG188" s="63"/>
      <c r="BH188" s="13"/>
      <c r="BI188" s="19"/>
    </row>
    <row r="189" spans="1:64" s="64" customFormat="1" ht="19.5" hidden="1" customHeight="1">
      <c r="A189" s="357">
        <v>187</v>
      </c>
      <c r="B189" s="293" t="s">
        <v>1747</v>
      </c>
      <c r="C189" s="252" t="s">
        <v>1748</v>
      </c>
      <c r="D189" s="245" t="s">
        <v>1749</v>
      </c>
      <c r="E189" s="22" t="s">
        <v>1750</v>
      </c>
      <c r="F189" s="6" t="s">
        <v>1751</v>
      </c>
      <c r="G189" s="6"/>
      <c r="H189" s="275" t="s">
        <v>1752</v>
      </c>
      <c r="I189" s="216" t="s">
        <v>104</v>
      </c>
      <c r="J189" s="216" t="s">
        <v>139</v>
      </c>
      <c r="K189" s="275" t="s">
        <v>1753</v>
      </c>
      <c r="L189" s="216" t="s">
        <v>92</v>
      </c>
      <c r="M189" s="216" t="s">
        <v>208</v>
      </c>
      <c r="N189" s="6" t="s">
        <v>69</v>
      </c>
      <c r="O189" s="6"/>
      <c r="P189" s="6" t="s">
        <v>75</v>
      </c>
      <c r="Q189" s="6" t="s">
        <v>75</v>
      </c>
      <c r="R189" s="6"/>
      <c r="S189" s="150" t="s">
        <v>565</v>
      </c>
      <c r="T189" s="6" t="s">
        <v>605</v>
      </c>
      <c r="U189" s="36">
        <v>2</v>
      </c>
      <c r="V189" s="36">
        <v>10</v>
      </c>
      <c r="W189" s="36" t="s">
        <v>1754</v>
      </c>
      <c r="X189" s="36" t="s">
        <v>1755</v>
      </c>
      <c r="Y189" s="6" t="s">
        <v>75</v>
      </c>
      <c r="Z189" s="6" t="s">
        <v>75</v>
      </c>
      <c r="AA189" s="6" t="s">
        <v>76</v>
      </c>
      <c r="AB189" s="6" t="s">
        <v>75</v>
      </c>
      <c r="AC189" s="6" t="s">
        <v>75</v>
      </c>
      <c r="AD189" s="6" t="str">
        <f>_xlfn.TEXTJOIN("/",TRUE,IF(OfertaPlazas[[#This Row],[GITST]]="SI","GITST",""),IF(OfertaPlazas[[#This Row],[GIB]]="SI","GIB",""),IF(OfertaPlazas[[#This Row],[GISD]]="SI","GISD",""),IF(OfertaPlazas[[#This Row],[MASTER]]="SI","MASTER",""))</f>
        <v>GITST/GISD/MASTER</v>
      </c>
      <c r="AE189" s="6" t="s">
        <v>75</v>
      </c>
      <c r="AF189" s="6" t="s">
        <v>75</v>
      </c>
      <c r="AG189" s="6" t="s">
        <v>75</v>
      </c>
      <c r="AH189" s="6" t="s">
        <v>75</v>
      </c>
      <c r="AI189" s="6" t="s">
        <v>75</v>
      </c>
      <c r="AJ189" s="6" t="s">
        <v>75</v>
      </c>
      <c r="AK189" s="6" t="s">
        <v>75</v>
      </c>
      <c r="AL189" s="6" t="s">
        <v>75</v>
      </c>
      <c r="AM189" s="6" t="s">
        <v>75</v>
      </c>
      <c r="AN189" s="6" t="s">
        <v>75</v>
      </c>
      <c r="AO189" s="6" t="s">
        <v>75</v>
      </c>
      <c r="AP189" s="6" t="s">
        <v>75</v>
      </c>
      <c r="AQ189" s="6" t="s">
        <v>75</v>
      </c>
      <c r="AR189" s="6" t="s">
        <v>76</v>
      </c>
      <c r="AS189" s="27" t="s">
        <v>173</v>
      </c>
      <c r="AT189" s="301"/>
      <c r="AU189" s="13" t="s">
        <v>1756</v>
      </c>
      <c r="AV189" s="13"/>
      <c r="AW189" s="13"/>
      <c r="AX189" s="13"/>
      <c r="AY189" s="90"/>
      <c r="AZ189" s="90"/>
      <c r="BA189" s="90"/>
      <c r="BB189" s="90"/>
      <c r="BC189" s="90"/>
      <c r="BD189" s="90"/>
      <c r="BE189" s="319"/>
      <c r="BF189" s="319"/>
      <c r="BG189" s="63"/>
      <c r="BH189" s="13"/>
      <c r="BI189" s="19"/>
    </row>
    <row r="190" spans="1:64" s="64" customFormat="1" ht="19.5" hidden="1" customHeight="1">
      <c r="A190" s="357">
        <v>188</v>
      </c>
      <c r="B190" s="13" t="s">
        <v>1757</v>
      </c>
      <c r="C190" s="346"/>
      <c r="D190" s="63" t="s">
        <v>1758</v>
      </c>
      <c r="E190" s="192"/>
      <c r="F190" s="6" t="s">
        <v>1504</v>
      </c>
      <c r="G190" s="192"/>
      <c r="H190" s="209"/>
      <c r="I190" s="209"/>
      <c r="J190" s="209"/>
      <c r="K190" s="209"/>
      <c r="L190" s="209"/>
      <c r="M190" s="209"/>
      <c r="N190" s="54" t="s">
        <v>230</v>
      </c>
      <c r="O190" s="192"/>
      <c r="P190" s="192"/>
      <c r="Q190" s="192"/>
      <c r="R190" s="192"/>
      <c r="S190" s="195"/>
      <c r="T190" s="54" t="s">
        <v>72</v>
      </c>
      <c r="U190" s="36">
        <v>2</v>
      </c>
      <c r="V190" s="36">
        <v>10</v>
      </c>
      <c r="W190" s="36"/>
      <c r="X190" s="36"/>
      <c r="Y190" s="6" t="s">
        <v>75</v>
      </c>
      <c r="Z190" s="6" t="s">
        <v>75</v>
      </c>
      <c r="AA190" s="6" t="s">
        <v>75</v>
      </c>
      <c r="AB190" s="6" t="s">
        <v>75</v>
      </c>
      <c r="AC190" s="6" t="s">
        <v>75</v>
      </c>
      <c r="AD190" s="6" t="str">
        <f>_xlfn.TEXTJOIN("/",TRUE,IF(OfertaPlazas[[#This Row],[GITST]]="SI","GITST",""),IF(OfertaPlazas[[#This Row],[GIB]]="SI","GIB",""),IF(OfertaPlazas[[#This Row],[GISD]]="SI","GISD",""),IF(OfertaPlazas[[#This Row],[MASTER]]="SI","MASTER",""))</f>
        <v>GITST/GIB/GISD/MASTER</v>
      </c>
      <c r="AE190" s="6" t="s">
        <v>76</v>
      </c>
      <c r="AF190" s="6" t="s">
        <v>76</v>
      </c>
      <c r="AG190" s="6" t="s">
        <v>76</v>
      </c>
      <c r="AH190" s="6" t="s">
        <v>75</v>
      </c>
      <c r="AI190" s="6" t="s">
        <v>75</v>
      </c>
      <c r="AJ190" s="6" t="s">
        <v>75</v>
      </c>
      <c r="AK190" s="6" t="s">
        <v>75</v>
      </c>
      <c r="AL190" s="6" t="s">
        <v>75</v>
      </c>
      <c r="AM190" s="6" t="s">
        <v>75</v>
      </c>
      <c r="AN190" s="6" t="s">
        <v>75</v>
      </c>
      <c r="AO190" s="6" t="s">
        <v>75</v>
      </c>
      <c r="AP190" s="6" t="s">
        <v>75</v>
      </c>
      <c r="AQ190" s="6" t="s">
        <v>76</v>
      </c>
      <c r="AR190" s="6" t="s">
        <v>76</v>
      </c>
      <c r="AS190" s="272" t="s">
        <v>1478</v>
      </c>
      <c r="AT190" s="301"/>
      <c r="AU190" s="200"/>
      <c r="AV190" s="71" t="s">
        <v>1759</v>
      </c>
      <c r="AW190" s="199"/>
      <c r="AX190" s="199"/>
      <c r="AY190" s="199"/>
      <c r="AZ190" s="199"/>
      <c r="BA190" s="199"/>
      <c r="BB190" s="199"/>
      <c r="BC190" s="199"/>
      <c r="BD190" s="199"/>
      <c r="BE190" s="347"/>
      <c r="BF190" s="348"/>
      <c r="BG190" s="294"/>
      <c r="BH190" s="72"/>
      <c r="BI190" s="143"/>
    </row>
    <row r="191" spans="1:64" s="64" customFormat="1" ht="19.5" hidden="1" customHeight="1">
      <c r="A191" s="357">
        <v>189</v>
      </c>
      <c r="B191" s="72" t="s">
        <v>1760</v>
      </c>
      <c r="C191" s="252"/>
      <c r="D191" s="63" t="s">
        <v>1761</v>
      </c>
      <c r="E191" s="6"/>
      <c r="F191" s="6" t="s">
        <v>1762</v>
      </c>
      <c r="G191" s="54"/>
      <c r="H191" s="209"/>
      <c r="I191" s="216"/>
      <c r="J191" s="216"/>
      <c r="K191" s="209"/>
      <c r="L191" s="216"/>
      <c r="M191" s="216"/>
      <c r="N191" s="6" t="s">
        <v>230</v>
      </c>
      <c r="O191" s="54" t="s">
        <v>1625</v>
      </c>
      <c r="P191" s="54" t="s">
        <v>1625</v>
      </c>
      <c r="Q191" s="54" t="s">
        <v>1625</v>
      </c>
      <c r="R191" s="54" t="s">
        <v>1625</v>
      </c>
      <c r="S191" s="150" t="s">
        <v>1476</v>
      </c>
      <c r="T191" s="54" t="s">
        <v>72</v>
      </c>
      <c r="U191" s="36">
        <v>2</v>
      </c>
      <c r="V191" s="36">
        <v>10</v>
      </c>
      <c r="W191" s="379" t="s">
        <v>1763</v>
      </c>
      <c r="X191" s="36" t="s">
        <v>1764</v>
      </c>
      <c r="Y191" s="6" t="s">
        <v>75</v>
      </c>
      <c r="Z191" s="6" t="s">
        <v>75</v>
      </c>
      <c r="AA191" s="6" t="s">
        <v>75</v>
      </c>
      <c r="AB191" s="6" t="s">
        <v>75</v>
      </c>
      <c r="AC191" s="6" t="s">
        <v>75</v>
      </c>
      <c r="AD191" s="6" t="str">
        <f>_xlfn.TEXTJOIN("/",TRUE,IF(OfertaPlazas[[#This Row],[GITST]]="SI","GITST",""),IF(OfertaPlazas[[#This Row],[GIB]]="SI","GIB",""),IF(OfertaPlazas[[#This Row],[GISD]]="SI","GISD",""),IF(OfertaPlazas[[#This Row],[MASTER]]="SI","MASTER",""))</f>
        <v>GITST/GIB/GISD/MASTER</v>
      </c>
      <c r="AE191" s="6" t="s">
        <v>75</v>
      </c>
      <c r="AF191" s="6" t="s">
        <v>75</v>
      </c>
      <c r="AG191" s="6" t="s">
        <v>75</v>
      </c>
      <c r="AH191" s="6" t="s">
        <v>75</v>
      </c>
      <c r="AI191" s="6" t="s">
        <v>75</v>
      </c>
      <c r="AJ191" s="6" t="s">
        <v>75</v>
      </c>
      <c r="AK191" s="6" t="s">
        <v>75</v>
      </c>
      <c r="AL191" s="6" t="s">
        <v>75</v>
      </c>
      <c r="AM191" s="6" t="s">
        <v>75</v>
      </c>
      <c r="AN191" s="6" t="s">
        <v>75</v>
      </c>
      <c r="AO191" s="6" t="s">
        <v>75</v>
      </c>
      <c r="AP191" s="6" t="s">
        <v>75</v>
      </c>
      <c r="AQ191" s="6" t="s">
        <v>75</v>
      </c>
      <c r="AR191" s="6" t="s">
        <v>76</v>
      </c>
      <c r="AS191" s="272" t="s">
        <v>1478</v>
      </c>
      <c r="AT191" s="301"/>
      <c r="AU191" s="40"/>
      <c r="AV191" s="71" t="s">
        <v>1765</v>
      </c>
      <c r="AW191" s="71"/>
      <c r="AX191" s="71"/>
      <c r="AY191" s="71"/>
      <c r="AZ191" s="71"/>
      <c r="BA191" s="71"/>
      <c r="BB191" s="71"/>
      <c r="BC191" s="71"/>
      <c r="BD191" s="71"/>
      <c r="BE191" s="322"/>
      <c r="BF191" s="322"/>
      <c r="BG191" s="221"/>
      <c r="BH191" s="71"/>
      <c r="BI191" s="7"/>
    </row>
    <row r="192" spans="1:64" s="64" customFormat="1" ht="19.5" hidden="1" customHeight="1">
      <c r="A192" s="357">
        <v>190</v>
      </c>
      <c r="B192" s="63" t="s">
        <v>1766</v>
      </c>
      <c r="C192" s="252"/>
      <c r="D192" s="63" t="s">
        <v>1767</v>
      </c>
      <c r="E192" s="6" t="s">
        <v>1768</v>
      </c>
      <c r="F192" s="6" t="s">
        <v>1070</v>
      </c>
      <c r="G192" s="6"/>
      <c r="H192" s="209" t="s">
        <v>1769</v>
      </c>
      <c r="I192" s="216" t="s">
        <v>1362</v>
      </c>
      <c r="J192" s="216" t="s">
        <v>1362</v>
      </c>
      <c r="K192" s="209" t="s">
        <v>1770</v>
      </c>
      <c r="L192" s="216" t="s">
        <v>300</v>
      </c>
      <c r="M192" s="216" t="s">
        <v>121</v>
      </c>
      <c r="N192" s="6" t="s">
        <v>69</v>
      </c>
      <c r="O192" s="6"/>
      <c r="P192" s="6"/>
      <c r="Q192" s="6"/>
      <c r="R192" s="6" t="s">
        <v>70</v>
      </c>
      <c r="S192" s="150" t="s">
        <v>464</v>
      </c>
      <c r="T192" s="6" t="s">
        <v>72</v>
      </c>
      <c r="U192" s="36">
        <v>2</v>
      </c>
      <c r="V192" s="36">
        <v>12</v>
      </c>
      <c r="W192" s="36" t="s">
        <v>1771</v>
      </c>
      <c r="X192" s="36" t="s">
        <v>1772</v>
      </c>
      <c r="Y192" s="6" t="s">
        <v>75</v>
      </c>
      <c r="Z192" s="6" t="s">
        <v>76</v>
      </c>
      <c r="AA192" s="6" t="s">
        <v>75</v>
      </c>
      <c r="AB192" s="6" t="s">
        <v>76</v>
      </c>
      <c r="AC192" s="6" t="s">
        <v>75</v>
      </c>
      <c r="AD192" s="6" t="str">
        <f>_xlfn.TEXTJOIN("/",TRUE,IF(OfertaPlazas[[#This Row],[GITST]]="SI","GITST",""),IF(OfertaPlazas[[#This Row],[GIB]]="SI","GIB",""),IF(OfertaPlazas[[#This Row],[GISD]]="SI","GISD",""),IF(OfertaPlazas[[#This Row],[MASTER]]="SI","MASTER",""))</f>
        <v>GIB/MASTER</v>
      </c>
      <c r="AE192" s="16" t="s">
        <v>76</v>
      </c>
      <c r="AF192" s="16" t="s">
        <v>76</v>
      </c>
      <c r="AG192" s="16" t="s">
        <v>76</v>
      </c>
      <c r="AH192" s="16" t="s">
        <v>75</v>
      </c>
      <c r="AI192" s="16" t="s">
        <v>75</v>
      </c>
      <c r="AJ192" s="16" t="s">
        <v>75</v>
      </c>
      <c r="AK192" s="16" t="s">
        <v>75</v>
      </c>
      <c r="AL192" s="16" t="s">
        <v>75</v>
      </c>
      <c r="AM192" s="16" t="s">
        <v>75</v>
      </c>
      <c r="AN192" s="16" t="s">
        <v>75</v>
      </c>
      <c r="AO192" s="6" t="s">
        <v>75</v>
      </c>
      <c r="AP192" s="6" t="s">
        <v>75</v>
      </c>
      <c r="AQ192" s="6" t="s">
        <v>75</v>
      </c>
      <c r="AR192" s="6" t="s">
        <v>76</v>
      </c>
      <c r="AS192" s="185" t="s">
        <v>1773</v>
      </c>
      <c r="AT192" s="301"/>
      <c r="AU192" s="273" t="s">
        <v>1774</v>
      </c>
      <c r="AV192" s="13" t="s">
        <v>1775</v>
      </c>
      <c r="AW192" s="13"/>
      <c r="AX192" s="13"/>
      <c r="AY192" s="91"/>
      <c r="AZ192" s="91"/>
      <c r="BA192" s="91"/>
      <c r="BB192" s="91"/>
      <c r="BC192" s="91"/>
      <c r="BD192" s="91"/>
      <c r="BE192" s="319"/>
      <c r="BF192" s="320"/>
      <c r="BG192" s="63"/>
      <c r="BH192" s="71"/>
      <c r="BI192" s="7"/>
    </row>
    <row r="193" spans="1:60" s="65" customFormat="1" ht="16.899999999999999" hidden="1" customHeight="1">
      <c r="A193" s="357">
        <v>191</v>
      </c>
      <c r="B193" s="40" t="s">
        <v>1776</v>
      </c>
      <c r="C193" s="267"/>
      <c r="D193" s="244" t="s">
        <v>1777</v>
      </c>
      <c r="E193" s="6"/>
      <c r="F193" s="6" t="s">
        <v>1778</v>
      </c>
      <c r="G193" s="54"/>
      <c r="H193" s="209"/>
      <c r="I193" s="216"/>
      <c r="J193" s="216"/>
      <c r="K193" s="209"/>
      <c r="L193" s="216"/>
      <c r="M193" s="216"/>
      <c r="N193" s="6" t="s">
        <v>230</v>
      </c>
      <c r="O193" s="54"/>
      <c r="P193" s="26"/>
      <c r="Q193" s="26"/>
      <c r="R193" s="26"/>
      <c r="S193" s="63"/>
      <c r="T193" s="54" t="s">
        <v>72</v>
      </c>
      <c r="U193" s="36">
        <v>2</v>
      </c>
      <c r="V193" s="36">
        <v>10</v>
      </c>
      <c r="W193" s="276" t="s">
        <v>1779</v>
      </c>
      <c r="X193" s="36" t="s">
        <v>1780</v>
      </c>
      <c r="Y193" s="6" t="s">
        <v>75</v>
      </c>
      <c r="Z193" s="6" t="s">
        <v>75</v>
      </c>
      <c r="AA193" s="6" t="s">
        <v>76</v>
      </c>
      <c r="AB193" s="6" t="s">
        <v>75</v>
      </c>
      <c r="AC193" s="6" t="s">
        <v>75</v>
      </c>
      <c r="AD193" s="6" t="str">
        <f>_xlfn.TEXTJOIN("/",TRUE,IF(OfertaPlazas[[#This Row],[GITST]]="SI","GITST",""),IF(OfertaPlazas[[#This Row],[GIB]]="SI","GIB",""),IF(OfertaPlazas[[#This Row],[GISD]]="SI","GISD",""),IF(OfertaPlazas[[#This Row],[MASTER]]="SI","MASTER",""))</f>
        <v>GITST/GISD/MASTER</v>
      </c>
      <c r="AE193" s="6" t="s">
        <v>76</v>
      </c>
      <c r="AF193" s="6" t="s">
        <v>76</v>
      </c>
      <c r="AG193" s="6" t="s">
        <v>76</v>
      </c>
      <c r="AH193" s="6" t="s">
        <v>75</v>
      </c>
      <c r="AI193" s="6" t="s">
        <v>75</v>
      </c>
      <c r="AJ193" s="6" t="s">
        <v>75</v>
      </c>
      <c r="AK193" s="6" t="s">
        <v>75</v>
      </c>
      <c r="AL193" s="6" t="s">
        <v>75</v>
      </c>
      <c r="AM193" s="6" t="s">
        <v>75</v>
      </c>
      <c r="AN193" s="6" t="s">
        <v>75</v>
      </c>
      <c r="AO193" s="6" t="s">
        <v>75</v>
      </c>
      <c r="AP193" s="6" t="s">
        <v>75</v>
      </c>
      <c r="AQ193" s="6" t="s">
        <v>75</v>
      </c>
      <c r="AR193" s="6" t="s">
        <v>76</v>
      </c>
      <c r="AS193" s="272" t="s">
        <v>1478</v>
      </c>
      <c r="AT193" s="301"/>
      <c r="AU193" s="259" t="s">
        <v>1781</v>
      </c>
      <c r="AV193" s="40" t="s">
        <v>1782</v>
      </c>
      <c r="AW193" s="40"/>
      <c r="AX193" s="71"/>
      <c r="AY193" s="13"/>
      <c r="AZ193" s="13"/>
      <c r="BA193" s="13"/>
      <c r="BB193" s="13"/>
      <c r="BC193" s="13"/>
      <c r="BD193" s="13"/>
      <c r="BE193" s="319"/>
      <c r="BF193" s="319"/>
      <c r="BG193" s="240"/>
    </row>
    <row r="194" spans="1:60" s="65" customFormat="1" ht="16.899999999999999" hidden="1" customHeight="1">
      <c r="A194" s="357">
        <v>192</v>
      </c>
      <c r="B194" s="40" t="s">
        <v>1783</v>
      </c>
      <c r="C194" s="244"/>
      <c r="D194" s="386" t="s">
        <v>1784</v>
      </c>
      <c r="E194" s="1"/>
      <c r="F194" s="6" t="s">
        <v>1785</v>
      </c>
      <c r="G194" s="39"/>
      <c r="H194" s="215"/>
      <c r="I194" s="214"/>
      <c r="J194" s="215"/>
      <c r="K194" s="215"/>
      <c r="L194" s="385"/>
      <c r="M194" s="216"/>
      <c r="N194" s="6" t="s">
        <v>230</v>
      </c>
      <c r="O194" s="54" t="s">
        <v>1625</v>
      </c>
      <c r="P194" s="54" t="s">
        <v>1625</v>
      </c>
      <c r="Q194" s="63"/>
      <c r="R194" s="54" t="s">
        <v>1625</v>
      </c>
      <c r="S194" s="150" t="s">
        <v>1786</v>
      </c>
      <c r="T194" s="54" t="s">
        <v>72</v>
      </c>
      <c r="U194" s="55">
        <v>2</v>
      </c>
      <c r="V194" s="55">
        <v>10</v>
      </c>
      <c r="W194" s="276" t="s">
        <v>1787</v>
      </c>
      <c r="X194" s="36" t="s">
        <v>125</v>
      </c>
      <c r="Y194" s="6" t="s">
        <v>75</v>
      </c>
      <c r="Z194" s="6" t="s">
        <v>75</v>
      </c>
      <c r="AA194" s="6" t="s">
        <v>75</v>
      </c>
      <c r="AB194" s="6" t="s">
        <v>76</v>
      </c>
      <c r="AC194" s="6" t="s">
        <v>75</v>
      </c>
      <c r="AD194" s="6" t="str">
        <f>_xlfn.TEXTJOIN("/",TRUE,IF(OfertaPlazas[[#This Row],[GITST]]="SI","GITST",""),IF(OfertaPlazas[[#This Row],[GIB]]="SI","GIB",""),IF(OfertaPlazas[[#This Row],[GISD]]="SI","GISD",""),IF(OfertaPlazas[[#This Row],[MASTER]]="SI","MASTER",""))</f>
        <v>GITST/GIB/MASTER</v>
      </c>
      <c r="AE194" s="6" t="s">
        <v>75</v>
      </c>
      <c r="AF194" s="6" t="s">
        <v>75</v>
      </c>
      <c r="AG194" s="6" t="s">
        <v>75</v>
      </c>
      <c r="AH194" s="6" t="s">
        <v>75</v>
      </c>
      <c r="AI194" s="6" t="s">
        <v>75</v>
      </c>
      <c r="AJ194" s="6" t="s">
        <v>75</v>
      </c>
      <c r="AK194" s="6" t="s">
        <v>75</v>
      </c>
      <c r="AL194" s="6" t="s">
        <v>75</v>
      </c>
      <c r="AM194" s="6" t="s">
        <v>75</v>
      </c>
      <c r="AN194" s="6" t="s">
        <v>75</v>
      </c>
      <c r="AO194" s="6" t="s">
        <v>75</v>
      </c>
      <c r="AP194" s="6" t="s">
        <v>75</v>
      </c>
      <c r="AQ194" s="6" t="s">
        <v>75</v>
      </c>
      <c r="AR194" s="6" t="s">
        <v>76</v>
      </c>
      <c r="AS194" s="7"/>
      <c r="AT194" s="13"/>
      <c r="AU194" s="71"/>
      <c r="AV194" s="71" t="s">
        <v>1788</v>
      </c>
      <c r="AW194" s="71"/>
      <c r="AX194" s="71"/>
      <c r="AY194" s="71"/>
      <c r="AZ194" s="71"/>
      <c r="BA194" s="128"/>
      <c r="BB194" s="128"/>
      <c r="BC194" s="82"/>
      <c r="BD194" s="7"/>
      <c r="BE194" s="7"/>
      <c r="BF194" s="19"/>
      <c r="BG194" s="19"/>
      <c r="BH194" s="19"/>
    </row>
    <row r="195" spans="1:60" s="65" customFormat="1" ht="16.899999999999999" hidden="1" customHeight="1">
      <c r="A195" s="357">
        <v>193</v>
      </c>
      <c r="B195" s="387" t="s">
        <v>1789</v>
      </c>
      <c r="C195" s="387" t="s">
        <v>1789</v>
      </c>
      <c r="D195" s="387" t="s">
        <v>1789</v>
      </c>
      <c r="E195" s="387" t="s">
        <v>1789</v>
      </c>
      <c r="F195" s="387" t="s">
        <v>1789</v>
      </c>
      <c r="G195" s="219"/>
      <c r="H195" s="443"/>
      <c r="I195" s="385"/>
      <c r="J195" s="385"/>
      <c r="K195" s="443"/>
      <c r="L195" s="385"/>
      <c r="M195" s="385"/>
      <c r="N195" s="444"/>
      <c r="O195" s="54"/>
      <c r="P195" s="444"/>
      <c r="Q195" s="444"/>
      <c r="R195" s="444"/>
      <c r="S195" s="445"/>
      <c r="T195" s="54"/>
      <c r="U195" s="62"/>
      <c r="V195" s="62"/>
      <c r="W195" s="446"/>
      <c r="X195" s="62"/>
      <c r="Y195" s="444"/>
      <c r="Z195" s="444"/>
      <c r="AA195" s="444"/>
      <c r="AB195" s="444"/>
      <c r="AC195" s="444"/>
      <c r="AD195" s="6"/>
      <c r="AE195" s="444"/>
      <c r="AF195" s="444"/>
      <c r="AG195" s="444"/>
      <c r="AH195" s="444"/>
      <c r="AI195" s="444"/>
      <c r="AJ195" s="444"/>
      <c r="AK195" s="444"/>
      <c r="AL195" s="444"/>
      <c r="AM195" s="444"/>
      <c r="AN195" s="444"/>
      <c r="AO195" s="444"/>
      <c r="AP195" s="444"/>
      <c r="AQ195" s="444"/>
      <c r="AR195" s="444"/>
      <c r="AS195" s="447"/>
      <c r="AT195" s="27"/>
      <c r="AU195" s="273"/>
      <c r="AV195" s="387"/>
      <c r="AW195" s="387"/>
      <c r="AX195" s="448"/>
      <c r="AY195" s="449"/>
      <c r="AZ195" s="449"/>
      <c r="BA195" s="449"/>
      <c r="BB195" s="449"/>
      <c r="BC195" s="449"/>
      <c r="BD195" s="13"/>
      <c r="BE195" s="450"/>
      <c r="BF195" s="450"/>
      <c r="BG195" s="451"/>
    </row>
    <row r="196" spans="1:60" s="65" customFormat="1" ht="16.899999999999999" hidden="1" customHeight="1">
      <c r="A196" s="357">
        <v>194</v>
      </c>
      <c r="B196" s="387" t="s">
        <v>1789</v>
      </c>
      <c r="C196" s="387" t="s">
        <v>1789</v>
      </c>
      <c r="D196" s="387" t="s">
        <v>1789</v>
      </c>
      <c r="E196" s="387" t="s">
        <v>1789</v>
      </c>
      <c r="F196" s="387" t="s">
        <v>1789</v>
      </c>
      <c r="G196" s="219"/>
      <c r="H196" s="443"/>
      <c r="I196" s="385"/>
      <c r="J196" s="385"/>
      <c r="K196" s="443"/>
      <c r="L196" s="385"/>
      <c r="M196" s="385"/>
      <c r="N196" s="444"/>
      <c r="O196" s="444"/>
      <c r="P196" s="444"/>
      <c r="Q196" s="444"/>
      <c r="R196" s="444"/>
      <c r="S196" s="445"/>
      <c r="T196" s="54"/>
      <c r="U196" s="62"/>
      <c r="V196" s="62"/>
      <c r="W196" s="446"/>
      <c r="X196" s="62"/>
      <c r="Y196" s="444"/>
      <c r="Z196" s="444"/>
      <c r="AA196" s="444"/>
      <c r="AB196" s="444"/>
      <c r="AC196" s="444"/>
      <c r="AD196" s="6"/>
      <c r="AE196" s="444"/>
      <c r="AF196" s="444"/>
      <c r="AG196" s="444"/>
      <c r="AH196" s="444"/>
      <c r="AI196" s="444"/>
      <c r="AJ196" s="444"/>
      <c r="AK196" s="444"/>
      <c r="AL196" s="444"/>
      <c r="AM196" s="444"/>
      <c r="AN196" s="444"/>
      <c r="AO196" s="444"/>
      <c r="AP196" s="444"/>
      <c r="AQ196" s="444"/>
      <c r="AR196" s="444"/>
      <c r="AS196" s="447"/>
      <c r="AT196" s="27"/>
      <c r="AU196" s="273"/>
      <c r="AV196" s="387"/>
      <c r="AW196" s="387"/>
      <c r="AX196" s="448"/>
      <c r="AY196" s="449"/>
      <c r="AZ196" s="449"/>
      <c r="BA196" s="449"/>
      <c r="BB196" s="449"/>
      <c r="BC196" s="449"/>
      <c r="BD196" s="13"/>
      <c r="BE196" s="450"/>
      <c r="BF196" s="450"/>
      <c r="BG196" s="451"/>
    </row>
    <row r="197" spans="1:60" s="65" customFormat="1" ht="16.899999999999999" hidden="1" customHeight="1">
      <c r="A197" s="357">
        <v>195</v>
      </c>
      <c r="B197" s="387" t="s">
        <v>1789</v>
      </c>
      <c r="C197" s="387" t="s">
        <v>1789</v>
      </c>
      <c r="D197" s="387" t="s">
        <v>1789</v>
      </c>
      <c r="E197" s="387" t="s">
        <v>1789</v>
      </c>
      <c r="F197" s="387" t="s">
        <v>1789</v>
      </c>
      <c r="G197" s="219"/>
      <c r="H197" s="443"/>
      <c r="I197" s="385"/>
      <c r="J197" s="385"/>
      <c r="K197" s="443"/>
      <c r="L197" s="385"/>
      <c r="M197" s="385"/>
      <c r="N197" s="444"/>
      <c r="O197" s="444"/>
      <c r="P197" s="444"/>
      <c r="Q197" s="444"/>
      <c r="R197" s="444"/>
      <c r="S197" s="445"/>
      <c r="T197" s="54"/>
      <c r="U197" s="62"/>
      <c r="V197" s="62"/>
      <c r="W197" s="446"/>
      <c r="X197" s="62"/>
      <c r="Y197" s="444"/>
      <c r="Z197" s="444"/>
      <c r="AA197" s="444"/>
      <c r="AB197" s="444"/>
      <c r="AC197" s="444"/>
      <c r="AD197" s="6"/>
      <c r="AE197" s="444"/>
      <c r="AF197" s="444"/>
      <c r="AG197" s="444"/>
      <c r="AH197" s="444"/>
      <c r="AI197" s="444"/>
      <c r="AJ197" s="444"/>
      <c r="AK197" s="444"/>
      <c r="AL197" s="444"/>
      <c r="AM197" s="444"/>
      <c r="AN197" s="444"/>
      <c r="AO197" s="444"/>
      <c r="AP197" s="444"/>
      <c r="AQ197" s="444"/>
      <c r="AR197" s="444"/>
      <c r="AS197" s="447"/>
      <c r="AT197" s="27"/>
      <c r="AU197" s="273"/>
      <c r="AV197" s="387"/>
      <c r="AW197" s="387"/>
      <c r="AX197" s="448"/>
      <c r="AY197" s="449"/>
      <c r="AZ197" s="449"/>
      <c r="BA197" s="449"/>
      <c r="BB197" s="449"/>
      <c r="BC197" s="449"/>
      <c r="BD197" s="13"/>
      <c r="BE197" s="450"/>
      <c r="BF197" s="450"/>
      <c r="BG197" s="451"/>
    </row>
    <row r="198" spans="1:60" s="65" customFormat="1" ht="16.899999999999999" hidden="1" customHeight="1">
      <c r="A198" s="357">
        <v>196</v>
      </c>
      <c r="B198" s="387" t="s">
        <v>1789</v>
      </c>
      <c r="C198" s="387" t="s">
        <v>1789</v>
      </c>
      <c r="D198" s="387" t="s">
        <v>1789</v>
      </c>
      <c r="E198" s="387" t="s">
        <v>1789</v>
      </c>
      <c r="F198" s="387" t="s">
        <v>1789</v>
      </c>
      <c r="G198" s="219"/>
      <c r="H198" s="443"/>
      <c r="I198" s="385"/>
      <c r="J198" s="385"/>
      <c r="K198" s="443"/>
      <c r="L198" s="385"/>
      <c r="M198" s="385"/>
      <c r="N198" s="444"/>
      <c r="O198" s="444"/>
      <c r="P198" s="444"/>
      <c r="Q198" s="444"/>
      <c r="R198" s="444"/>
      <c r="S198" s="445"/>
      <c r="T198" s="54"/>
      <c r="U198" s="62"/>
      <c r="V198" s="62"/>
      <c r="W198" s="446"/>
      <c r="X198" s="62"/>
      <c r="Y198" s="444"/>
      <c r="Z198" s="444"/>
      <c r="AA198" s="444"/>
      <c r="AB198" s="444"/>
      <c r="AC198" s="444"/>
      <c r="AD198" s="6"/>
      <c r="AE198" s="444"/>
      <c r="AF198" s="444"/>
      <c r="AG198" s="444"/>
      <c r="AH198" s="444"/>
      <c r="AI198" s="444"/>
      <c r="AJ198" s="444"/>
      <c r="AK198" s="444"/>
      <c r="AL198" s="444"/>
      <c r="AM198" s="444"/>
      <c r="AN198" s="444"/>
      <c r="AO198" s="444"/>
      <c r="AP198" s="444"/>
      <c r="AQ198" s="444"/>
      <c r="AR198" s="444"/>
      <c r="AS198" s="447"/>
      <c r="AT198" s="27"/>
      <c r="AU198" s="273"/>
      <c r="AV198" s="387"/>
      <c r="AW198" s="387"/>
      <c r="AX198" s="448"/>
      <c r="AY198" s="449"/>
      <c r="AZ198" s="449"/>
      <c r="BA198" s="449"/>
      <c r="BB198" s="449"/>
      <c r="BC198" s="449"/>
      <c r="BD198" s="13"/>
      <c r="BE198" s="450"/>
      <c r="BF198" s="450"/>
      <c r="BG198" s="451"/>
    </row>
    <row r="199" spans="1:60" s="65" customFormat="1" ht="16.899999999999999" hidden="1" customHeight="1">
      <c r="A199" s="357">
        <v>197</v>
      </c>
      <c r="B199" s="387" t="s">
        <v>1789</v>
      </c>
      <c r="C199" s="387" t="s">
        <v>1789</v>
      </c>
      <c r="D199" s="387" t="s">
        <v>1789</v>
      </c>
      <c r="E199" s="387" t="s">
        <v>1789</v>
      </c>
      <c r="F199" s="387" t="s">
        <v>1789</v>
      </c>
      <c r="G199" s="219"/>
      <c r="H199" s="443"/>
      <c r="I199" s="385"/>
      <c r="J199" s="385"/>
      <c r="K199" s="443"/>
      <c r="L199" s="385"/>
      <c r="M199" s="385"/>
      <c r="N199" s="444"/>
      <c r="O199" s="444"/>
      <c r="P199" s="444"/>
      <c r="Q199" s="444"/>
      <c r="R199" s="444"/>
      <c r="S199" s="445"/>
      <c r="T199" s="54"/>
      <c r="U199" s="62"/>
      <c r="V199" s="62"/>
      <c r="W199" s="446"/>
      <c r="X199" s="62"/>
      <c r="Y199" s="444"/>
      <c r="Z199" s="444"/>
      <c r="AA199" s="444"/>
      <c r="AB199" s="444"/>
      <c r="AC199" s="444"/>
      <c r="AD199" s="6"/>
      <c r="AE199" s="444"/>
      <c r="AF199" s="444"/>
      <c r="AG199" s="444"/>
      <c r="AH199" s="444"/>
      <c r="AI199" s="444"/>
      <c r="AJ199" s="444"/>
      <c r="AK199" s="444"/>
      <c r="AL199" s="444"/>
      <c r="AM199" s="444"/>
      <c r="AN199" s="444"/>
      <c r="AO199" s="444"/>
      <c r="AP199" s="444"/>
      <c r="AQ199" s="444"/>
      <c r="AR199" s="444"/>
      <c r="AS199" s="447"/>
      <c r="AT199" s="27"/>
      <c r="AU199" s="273"/>
      <c r="AV199" s="387"/>
      <c r="AW199" s="387"/>
      <c r="AX199" s="448"/>
      <c r="AY199" s="449"/>
      <c r="AZ199" s="449"/>
      <c r="BA199" s="449"/>
      <c r="BB199" s="449"/>
      <c r="BC199" s="449"/>
      <c r="BD199" s="13"/>
      <c r="BE199" s="450"/>
      <c r="BF199" s="450"/>
      <c r="BG199" s="451"/>
    </row>
    <row r="200" spans="1:60" s="65" customFormat="1" ht="16.899999999999999" hidden="1" customHeight="1">
      <c r="A200" s="357">
        <v>198</v>
      </c>
      <c r="B200" s="387" t="s">
        <v>1789</v>
      </c>
      <c r="C200" s="387" t="s">
        <v>1789</v>
      </c>
      <c r="D200" s="387" t="s">
        <v>1789</v>
      </c>
      <c r="E200" s="387" t="s">
        <v>1789</v>
      </c>
      <c r="F200" s="387" t="s">
        <v>1789</v>
      </c>
      <c r="G200" s="219"/>
      <c r="H200" s="443"/>
      <c r="I200" s="385"/>
      <c r="J200" s="385"/>
      <c r="K200" s="443"/>
      <c r="L200" s="385"/>
      <c r="M200" s="385"/>
      <c r="N200" s="444"/>
      <c r="O200" s="444"/>
      <c r="P200" s="444"/>
      <c r="Q200" s="444"/>
      <c r="R200" s="444"/>
      <c r="S200" s="445"/>
      <c r="T200" s="54"/>
      <c r="U200" s="62"/>
      <c r="V200" s="62"/>
      <c r="W200" s="446"/>
      <c r="X200" s="62"/>
      <c r="Y200" s="444"/>
      <c r="Z200" s="444"/>
      <c r="AA200" s="444"/>
      <c r="AB200" s="444"/>
      <c r="AC200" s="444"/>
      <c r="AD200" s="6"/>
      <c r="AE200" s="444"/>
      <c r="AF200" s="444"/>
      <c r="AG200" s="444"/>
      <c r="AH200" s="444"/>
      <c r="AI200" s="444"/>
      <c r="AJ200" s="444"/>
      <c r="AK200" s="444"/>
      <c r="AL200" s="444"/>
      <c r="AM200" s="444"/>
      <c r="AN200" s="444"/>
      <c r="AO200" s="444"/>
      <c r="AP200" s="444"/>
      <c r="AQ200" s="444"/>
      <c r="AR200" s="444"/>
      <c r="AS200" s="447"/>
      <c r="AT200" s="27"/>
      <c r="AU200" s="273"/>
      <c r="AV200" s="387"/>
      <c r="AW200" s="387"/>
      <c r="AX200" s="448"/>
      <c r="AY200" s="449"/>
      <c r="AZ200" s="449"/>
      <c r="BA200" s="449"/>
      <c r="BB200" s="449"/>
      <c r="BC200" s="449"/>
      <c r="BD200" s="13"/>
      <c r="BE200" s="450"/>
      <c r="BF200" s="450"/>
      <c r="BG200" s="451"/>
    </row>
    <row r="201" spans="1:60" s="65" customFormat="1" ht="16.899999999999999" hidden="1" customHeight="1">
      <c r="A201" s="357">
        <v>199</v>
      </c>
      <c r="B201" s="387" t="s">
        <v>1789</v>
      </c>
      <c r="C201" s="387" t="s">
        <v>1789</v>
      </c>
      <c r="D201" s="387" t="s">
        <v>1789</v>
      </c>
      <c r="E201" s="387" t="s">
        <v>1789</v>
      </c>
      <c r="F201" s="387" t="s">
        <v>1789</v>
      </c>
      <c r="G201" s="219"/>
      <c r="H201" s="443"/>
      <c r="I201" s="385"/>
      <c r="J201" s="385"/>
      <c r="K201" s="443"/>
      <c r="L201" s="385"/>
      <c r="M201" s="385"/>
      <c r="N201" s="444"/>
      <c r="O201" s="444"/>
      <c r="P201" s="444"/>
      <c r="Q201" s="444"/>
      <c r="R201" s="444"/>
      <c r="S201" s="445"/>
      <c r="T201" s="54"/>
      <c r="U201" s="62"/>
      <c r="V201" s="62"/>
      <c r="W201" s="446"/>
      <c r="X201" s="62"/>
      <c r="Y201" s="444"/>
      <c r="Z201" s="444"/>
      <c r="AA201" s="444"/>
      <c r="AB201" s="444"/>
      <c r="AC201" s="444"/>
      <c r="AD201" s="6"/>
      <c r="AE201" s="444"/>
      <c r="AF201" s="444"/>
      <c r="AG201" s="444"/>
      <c r="AH201" s="444"/>
      <c r="AI201" s="444"/>
      <c r="AJ201" s="444"/>
      <c r="AK201" s="444"/>
      <c r="AL201" s="444"/>
      <c r="AM201" s="444"/>
      <c r="AN201" s="444"/>
      <c r="AO201" s="444"/>
      <c r="AP201" s="444"/>
      <c r="AQ201" s="444"/>
      <c r="AR201" s="444"/>
      <c r="AS201" s="447"/>
      <c r="AT201" s="27"/>
      <c r="AU201" s="273"/>
      <c r="AV201" s="387"/>
      <c r="AW201" s="387"/>
      <c r="AX201" s="448"/>
      <c r="AY201" s="449"/>
      <c r="AZ201" s="449"/>
      <c r="BA201" s="449"/>
      <c r="BB201" s="449"/>
      <c r="BC201" s="449"/>
      <c r="BD201" s="13"/>
      <c r="BE201" s="450"/>
      <c r="BF201" s="450"/>
      <c r="BG201" s="451"/>
    </row>
    <row r="202" spans="1:60" s="65" customFormat="1" ht="16.899999999999999" hidden="1" customHeight="1">
      <c r="A202" s="357">
        <v>200</v>
      </c>
      <c r="B202" s="387" t="s">
        <v>1789</v>
      </c>
      <c r="C202" s="387" t="s">
        <v>1789</v>
      </c>
      <c r="D202" s="387" t="s">
        <v>1789</v>
      </c>
      <c r="E202" s="387" t="s">
        <v>1789</v>
      </c>
      <c r="F202" s="387" t="s">
        <v>1789</v>
      </c>
      <c r="G202" s="219"/>
      <c r="H202" s="443"/>
      <c r="I202" s="385"/>
      <c r="J202" s="385"/>
      <c r="K202" s="443"/>
      <c r="L202" s="385"/>
      <c r="M202" s="385"/>
      <c r="N202" s="444"/>
      <c r="O202" s="444"/>
      <c r="P202" s="444"/>
      <c r="Q202" s="444"/>
      <c r="R202" s="444"/>
      <c r="S202" s="445"/>
      <c r="T202" s="54"/>
      <c r="U202" s="62"/>
      <c r="V202" s="62"/>
      <c r="W202" s="446"/>
      <c r="X202" s="62"/>
      <c r="Y202" s="444"/>
      <c r="Z202" s="444"/>
      <c r="AA202" s="444"/>
      <c r="AB202" s="444"/>
      <c r="AC202" s="444"/>
      <c r="AD202" s="6"/>
      <c r="AE202" s="444"/>
      <c r="AF202" s="444"/>
      <c r="AG202" s="444"/>
      <c r="AH202" s="444"/>
      <c r="AI202" s="444"/>
      <c r="AJ202" s="444"/>
      <c r="AK202" s="444"/>
      <c r="AL202" s="444"/>
      <c r="AM202" s="444"/>
      <c r="AN202" s="444"/>
      <c r="AO202" s="444"/>
      <c r="AP202" s="444"/>
      <c r="AQ202" s="444"/>
      <c r="AR202" s="444"/>
      <c r="AS202" s="447"/>
      <c r="AT202" s="27"/>
      <c r="AU202" s="273"/>
      <c r="AV202" s="387"/>
      <c r="AW202" s="387"/>
      <c r="AX202" s="448"/>
      <c r="AY202" s="449"/>
      <c r="AZ202" s="449"/>
      <c r="BA202" s="449"/>
      <c r="BB202" s="449"/>
      <c r="BC202" s="449"/>
      <c r="BD202" s="13"/>
      <c r="BE202" s="450"/>
      <c r="BF202" s="450"/>
      <c r="BG202" s="451"/>
    </row>
    <row r="203" spans="1:60" s="65" customFormat="1" ht="15.75">
      <c r="A203" s="363"/>
      <c r="B203" s="367"/>
      <c r="C203" s="368"/>
      <c r="D203" s="369"/>
      <c r="E203" s="370"/>
      <c r="F203" s="371"/>
      <c r="G203" s="370"/>
      <c r="H203" s="367"/>
      <c r="I203" s="370"/>
      <c r="J203" s="370"/>
      <c r="K203" s="367"/>
      <c r="L203" s="370"/>
      <c r="M203" s="370"/>
      <c r="N203" s="370"/>
      <c r="O203" s="370"/>
      <c r="P203" s="370"/>
      <c r="Q203" s="370"/>
      <c r="R203" s="370"/>
      <c r="S203" s="364"/>
      <c r="T203" s="365"/>
      <c r="U203" s="370"/>
      <c r="V203" s="370"/>
      <c r="W203" s="370"/>
      <c r="X203" s="370"/>
      <c r="Y203" s="370"/>
      <c r="Z203" s="370"/>
      <c r="AA203" s="370"/>
      <c r="AB203" s="370"/>
      <c r="AC203" s="370"/>
      <c r="AD203" s="370"/>
      <c r="AE203" s="370"/>
      <c r="AF203" s="370"/>
      <c r="AG203" s="370"/>
      <c r="AH203" s="370"/>
      <c r="AI203" s="370"/>
      <c r="AJ203" s="370"/>
      <c r="AK203" s="370"/>
      <c r="AL203" s="370"/>
      <c r="AM203" s="370"/>
      <c r="AN203" s="370"/>
      <c r="AO203" s="370"/>
      <c r="AP203" s="370"/>
      <c r="AQ203" s="370"/>
      <c r="AR203" s="370"/>
      <c r="AS203" s="367"/>
      <c r="AT203" s="367"/>
      <c r="AU203" s="372"/>
      <c r="AV203" s="367"/>
      <c r="AW203" s="367"/>
      <c r="AX203" s="367"/>
      <c r="AY203" s="367"/>
      <c r="AZ203" s="367"/>
      <c r="BA203" s="367"/>
      <c r="BB203" s="367"/>
      <c r="BC203" s="367"/>
      <c r="BD203" s="366"/>
      <c r="BE203" s="373"/>
      <c r="BF203" s="374"/>
      <c r="BG203" s="375"/>
    </row>
    <row r="204" spans="1:60" s="65" customFormat="1">
      <c r="C204" s="253"/>
      <c r="D204" s="134"/>
      <c r="E204" s="66"/>
      <c r="F204" s="227"/>
      <c r="G204" s="66"/>
      <c r="I204" s="66"/>
      <c r="J204" s="66"/>
      <c r="L204" s="66"/>
      <c r="M204" s="66"/>
      <c r="N204" s="66"/>
      <c r="O204" s="66"/>
      <c r="P204" s="66"/>
      <c r="Q204" s="66"/>
      <c r="R204" s="66"/>
      <c r="S204" s="154"/>
      <c r="T204" s="67"/>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U204" s="68"/>
      <c r="BE204" s="237"/>
      <c r="BF204" s="129"/>
      <c r="BG204" s="134"/>
    </row>
    <row r="205" spans="1:60" s="65" customFormat="1">
      <c r="C205" s="253"/>
      <c r="D205" s="134"/>
      <c r="E205" s="66"/>
      <c r="F205" s="227"/>
      <c r="G205" s="66"/>
      <c r="I205" s="66"/>
      <c r="J205" s="66"/>
      <c r="L205" s="66"/>
      <c r="M205" s="66"/>
      <c r="N205" s="66"/>
      <c r="O205" s="66"/>
      <c r="P205" s="66"/>
      <c r="Q205" s="66"/>
      <c r="R205" s="66"/>
      <c r="S205" s="154"/>
      <c r="T205" s="67"/>
      <c r="U205" s="66"/>
      <c r="V205" s="66"/>
      <c r="W205" s="66"/>
      <c r="X205" s="66"/>
      <c r="Y205" s="66"/>
      <c r="Z205" s="66"/>
      <c r="AA205" s="66"/>
      <c r="AB205" s="66"/>
      <c r="AC205" s="66"/>
      <c r="AD205" s="66"/>
      <c r="AE205" s="66"/>
      <c r="AF205" s="227"/>
      <c r="AG205" s="66"/>
      <c r="AH205" s="66"/>
      <c r="AI205" s="66"/>
      <c r="AJ205" s="66"/>
      <c r="AK205" s="66"/>
      <c r="AL205" s="66"/>
      <c r="AM205" s="66"/>
      <c r="AN205" s="66"/>
      <c r="AO205" s="66"/>
      <c r="AP205" s="66"/>
      <c r="AQ205" s="66"/>
      <c r="AR205" s="66"/>
      <c r="AU205" s="68"/>
      <c r="BE205" s="237"/>
      <c r="BF205" s="129"/>
      <c r="BG205" s="134"/>
    </row>
    <row r="206" spans="1:60" s="65" customFormat="1">
      <c r="B206" s="65" t="s">
        <v>1790</v>
      </c>
      <c r="C206" s="253"/>
      <c r="D206" s="134"/>
      <c r="E206" s="66"/>
      <c r="F206" s="227"/>
      <c r="G206" s="66"/>
      <c r="I206" s="66"/>
      <c r="J206" s="66"/>
      <c r="L206" s="66"/>
      <c r="M206" s="66"/>
      <c r="N206" s="66"/>
      <c r="O206" s="66"/>
      <c r="P206" s="66"/>
      <c r="Q206" s="66"/>
      <c r="R206" s="66"/>
      <c r="S206" s="154"/>
      <c r="T206" s="67"/>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U206" s="68"/>
      <c r="BE206" s="237"/>
      <c r="BF206" s="129"/>
      <c r="BG206" s="134"/>
    </row>
    <row r="207" spans="1:60" s="65" customFormat="1">
      <c r="B207" s="2" t="s">
        <v>1791</v>
      </c>
      <c r="C207" s="253"/>
      <c r="D207" s="134"/>
      <c r="E207" s="66"/>
      <c r="F207" s="227"/>
      <c r="G207" s="66"/>
      <c r="I207" s="66"/>
      <c r="J207" s="66"/>
      <c r="L207" s="66"/>
      <c r="M207" s="66"/>
      <c r="N207" s="66"/>
      <c r="O207" s="66"/>
      <c r="P207" s="66"/>
      <c r="Q207" s="66"/>
      <c r="R207" s="66"/>
      <c r="S207" s="154"/>
      <c r="T207" s="67"/>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U207" s="68"/>
      <c r="BE207" s="237"/>
      <c r="BF207" s="129"/>
      <c r="BG207" s="134"/>
    </row>
    <row r="208" spans="1:60" s="65" customFormat="1">
      <c r="B208" s="2"/>
      <c r="C208" s="253"/>
      <c r="D208" s="134"/>
      <c r="E208" s="66"/>
      <c r="F208" s="227"/>
      <c r="G208" s="66"/>
      <c r="I208" s="66"/>
      <c r="J208" s="66"/>
      <c r="L208" s="66"/>
      <c r="M208" s="66"/>
      <c r="N208" s="66"/>
      <c r="O208" s="66"/>
      <c r="P208" s="66"/>
      <c r="Q208" s="66"/>
      <c r="R208" s="66"/>
      <c r="S208" s="154"/>
      <c r="T208" s="67"/>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U208" s="68"/>
      <c r="BE208" s="237"/>
      <c r="BF208" s="129"/>
      <c r="BG208" s="134"/>
    </row>
    <row r="209" spans="2:64" s="65" customFormat="1">
      <c r="B209" s="2" t="s">
        <v>1792</v>
      </c>
      <c r="C209" s="253"/>
      <c r="D209" s="134"/>
      <c r="E209" s="66"/>
      <c r="F209" s="227"/>
      <c r="G209" s="66"/>
      <c r="I209" s="66"/>
      <c r="J209" s="66"/>
      <c r="L209" s="66"/>
      <c r="M209" s="66"/>
      <c r="N209" s="66"/>
      <c r="O209" s="66"/>
      <c r="P209" s="66"/>
      <c r="Q209" s="66"/>
      <c r="R209" s="66"/>
      <c r="S209" s="154"/>
      <c r="T209" s="67"/>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U209" s="68"/>
      <c r="BE209" s="237"/>
      <c r="BF209" s="129"/>
      <c r="BG209" s="134"/>
    </row>
    <row r="210" spans="2:64" s="65" customFormat="1">
      <c r="B210" s="2" t="s">
        <v>1793</v>
      </c>
      <c r="C210" s="253"/>
      <c r="D210" s="134"/>
      <c r="E210" s="66"/>
      <c r="F210" s="227"/>
      <c r="G210" s="66"/>
      <c r="I210" s="66"/>
      <c r="J210" s="66"/>
      <c r="L210" s="66"/>
      <c r="M210" s="66"/>
      <c r="N210" s="66"/>
      <c r="O210" s="66"/>
      <c r="P210" s="66"/>
      <c r="Q210" s="66"/>
      <c r="R210" s="66"/>
      <c r="S210" s="154"/>
      <c r="T210" s="67"/>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U210" s="68"/>
      <c r="BE210" s="237"/>
      <c r="BF210" s="129"/>
      <c r="BG210" s="134"/>
    </row>
    <row r="220" spans="2:64" s="79" customFormat="1">
      <c r="B220" s="65" t="s">
        <v>1794</v>
      </c>
    </row>
    <row r="221" spans="2:64" s="79" customFormat="1">
      <c r="B221" s="197" t="s">
        <v>1795</v>
      </c>
      <c r="C221" s="267"/>
      <c r="D221" s="247" t="s">
        <v>1796</v>
      </c>
      <c r="E221" s="75"/>
      <c r="F221" s="75" t="s">
        <v>1483</v>
      </c>
      <c r="G221" s="174"/>
      <c r="H221" s="188"/>
      <c r="I221" s="74"/>
      <c r="J221" s="74"/>
      <c r="K221" s="76"/>
      <c r="L221" s="74"/>
      <c r="M221" s="74"/>
      <c r="N221" s="75"/>
      <c r="O221" s="174"/>
      <c r="P221" s="174"/>
      <c r="Q221" s="174"/>
      <c r="R221" s="191"/>
      <c r="S221" s="155"/>
      <c r="T221" s="54" t="s">
        <v>72</v>
      </c>
      <c r="U221" s="77">
        <v>2</v>
      </c>
      <c r="V221" s="77">
        <v>12</v>
      </c>
      <c r="W221" s="77"/>
      <c r="X221" s="77"/>
      <c r="Y221" s="75" t="s">
        <v>76</v>
      </c>
      <c r="Z221" s="75" t="s">
        <v>76</v>
      </c>
      <c r="AA221" s="75" t="s">
        <v>76</v>
      </c>
      <c r="AB221" s="75"/>
      <c r="AC221" s="75" t="s">
        <v>75</v>
      </c>
      <c r="AD221" s="376"/>
      <c r="AE221" s="38" t="s">
        <v>76</v>
      </c>
      <c r="AF221" s="14" t="s">
        <v>76</v>
      </c>
      <c r="AG221" s="14" t="s">
        <v>76</v>
      </c>
      <c r="AH221" s="14" t="s">
        <v>76</v>
      </c>
      <c r="AI221" s="14" t="s">
        <v>76</v>
      </c>
      <c r="AJ221" s="14" t="s">
        <v>76</v>
      </c>
      <c r="AK221" s="14" t="s">
        <v>76</v>
      </c>
      <c r="AL221" s="14" t="s">
        <v>76</v>
      </c>
      <c r="AM221" s="14" t="s">
        <v>76</v>
      </c>
      <c r="AN221" s="14" t="s">
        <v>76</v>
      </c>
      <c r="AO221" s="25" t="s">
        <v>75</v>
      </c>
      <c r="AP221" s="25" t="s">
        <v>75</v>
      </c>
      <c r="AQ221" s="25" t="s">
        <v>75</v>
      </c>
      <c r="AR221" s="75" t="s">
        <v>76</v>
      </c>
      <c r="AS221" s="27" t="s">
        <v>173</v>
      </c>
      <c r="AT221" s="27"/>
      <c r="AU221" s="27"/>
      <c r="AV221" s="197"/>
      <c r="AW221" s="84"/>
      <c r="BE221" s="237"/>
      <c r="BF221" s="129"/>
      <c r="BG221" s="135"/>
    </row>
    <row r="222" spans="2:64" s="65" customFormat="1">
      <c r="B222" s="27" t="s">
        <v>1797</v>
      </c>
      <c r="C222" s="252"/>
      <c r="D222" s="248" t="s">
        <v>1798</v>
      </c>
      <c r="E222" s="6"/>
      <c r="F222" s="6" t="s">
        <v>1799</v>
      </c>
      <c r="G222" s="66"/>
      <c r="I222" s="66"/>
      <c r="J222" s="66"/>
      <c r="L222" s="66"/>
      <c r="M222" s="66"/>
      <c r="N222" s="75"/>
      <c r="O222" s="66"/>
      <c r="P222" s="1"/>
      <c r="Q222" s="66"/>
      <c r="R222" s="192"/>
      <c r="S222" s="195"/>
      <c r="T222" s="196"/>
      <c r="U222" s="192"/>
      <c r="V222" s="192"/>
      <c r="W222" s="192"/>
      <c r="X222" s="192"/>
      <c r="Y222" s="192"/>
      <c r="Z222" s="192"/>
      <c r="AA222" s="192"/>
      <c r="AB222" s="192"/>
      <c r="AC222" s="192"/>
      <c r="AD222" s="66"/>
      <c r="AE222" s="66"/>
      <c r="AF222" s="66"/>
      <c r="AG222" s="66"/>
      <c r="AH222" s="66"/>
      <c r="AI222" s="66"/>
      <c r="AJ222" s="66"/>
      <c r="AK222" s="66"/>
      <c r="AL222" s="66"/>
      <c r="AM222" s="66"/>
      <c r="AN222" s="66"/>
      <c r="AO222" s="66"/>
      <c r="AP222" s="66"/>
      <c r="AQ222" s="66"/>
      <c r="AR222" s="192"/>
      <c r="AS222" s="199"/>
      <c r="AT222" s="199"/>
      <c r="AU222" s="200"/>
      <c r="AV222" s="199"/>
      <c r="BE222" s="237"/>
      <c r="BF222" s="129"/>
      <c r="BG222" s="134"/>
      <c r="BL222" s="19" t="e">
        <f>VLOOKUP(E222,#REF!,1,FALSE)</f>
        <v>#REF!</v>
      </c>
    </row>
    <row r="223" spans="2:64" s="65" customFormat="1" ht="18.75" customHeight="1">
      <c r="B223" s="27" t="s">
        <v>1800</v>
      </c>
      <c r="C223" s="252"/>
      <c r="D223" s="248" t="s">
        <v>1801</v>
      </c>
      <c r="E223" s="6"/>
      <c r="F223" s="75" t="s">
        <v>1504</v>
      </c>
      <c r="G223" s="66"/>
      <c r="H223" s="190"/>
      <c r="I223" s="14"/>
      <c r="J223" s="14"/>
      <c r="K223" s="15"/>
      <c r="L223" s="14"/>
      <c r="M223" s="251"/>
      <c r="N223" s="194"/>
      <c r="O223" s="66"/>
      <c r="P223" s="66"/>
      <c r="Q223" s="66"/>
      <c r="R223" s="192"/>
      <c r="S223" s="193"/>
      <c r="T223" s="196"/>
      <c r="U223" s="192"/>
      <c r="V223" s="192"/>
      <c r="W223" s="192"/>
      <c r="X223" s="192"/>
      <c r="Y223" s="192"/>
      <c r="Z223" s="192"/>
      <c r="AA223" s="192"/>
      <c r="AB223" s="192"/>
      <c r="AC223" s="192"/>
      <c r="AD223" s="66"/>
      <c r="AE223" s="66"/>
      <c r="AF223" s="66"/>
      <c r="AG223" s="66"/>
      <c r="AH223" s="66"/>
      <c r="AI223" s="66"/>
      <c r="AJ223" s="66"/>
      <c r="AK223" s="66"/>
      <c r="AL223" s="66"/>
      <c r="AM223" s="66"/>
      <c r="AN223" s="66"/>
      <c r="AO223" s="66"/>
      <c r="AP223" s="66"/>
      <c r="AQ223" s="66"/>
      <c r="AR223" s="192"/>
      <c r="AS223" s="199"/>
      <c r="AT223" s="199"/>
      <c r="AU223" s="200"/>
      <c r="AV223" s="199"/>
      <c r="BE223" s="237"/>
      <c r="BF223" s="129"/>
      <c r="BG223" s="134"/>
    </row>
    <row r="224" spans="2:64" s="1" customFormat="1" ht="18.600000000000001" customHeight="1">
      <c r="B224" s="27" t="s">
        <v>1802</v>
      </c>
      <c r="C224" s="252"/>
      <c r="D224" s="248" t="s">
        <v>1803</v>
      </c>
      <c r="E224" s="27"/>
      <c r="F224" s="75" t="s">
        <v>1639</v>
      </c>
      <c r="H224" s="292"/>
      <c r="I224" s="291"/>
      <c r="J224" s="291"/>
      <c r="K224" s="292"/>
      <c r="L224" s="291"/>
      <c r="M224" s="291"/>
      <c r="N224" s="75"/>
      <c r="O224" s="75"/>
      <c r="P224" s="75"/>
      <c r="Q224" s="75"/>
      <c r="R224" s="75"/>
      <c r="S224" s="232"/>
      <c r="T224" s="75" t="s">
        <v>72</v>
      </c>
      <c r="U224" s="77">
        <v>1</v>
      </c>
      <c r="V224" s="233">
        <v>12</v>
      </c>
      <c r="W224" s="233"/>
      <c r="X224" s="233"/>
      <c r="Y224" s="75" t="s">
        <v>76</v>
      </c>
      <c r="Z224" s="75" t="s">
        <v>76</v>
      </c>
      <c r="AA224" s="75" t="s">
        <v>76</v>
      </c>
      <c r="AB224" s="75" t="s">
        <v>76</v>
      </c>
      <c r="AC224" s="75" t="s">
        <v>76</v>
      </c>
      <c r="AD224" s="75"/>
      <c r="AE224" s="75" t="s">
        <v>76</v>
      </c>
      <c r="AF224" s="75" t="s">
        <v>76</v>
      </c>
      <c r="AG224" s="75" t="s">
        <v>76</v>
      </c>
      <c r="AH224" s="75" t="s">
        <v>76</v>
      </c>
      <c r="AI224" s="75" t="s">
        <v>76</v>
      </c>
      <c r="AJ224" s="75" t="s">
        <v>76</v>
      </c>
      <c r="AK224" s="75" t="s">
        <v>76</v>
      </c>
      <c r="AL224" s="75" t="s">
        <v>76</v>
      </c>
      <c r="AM224" s="75" t="s">
        <v>76</v>
      </c>
      <c r="AN224" s="75" t="s">
        <v>76</v>
      </c>
      <c r="AO224" s="75" t="s">
        <v>75</v>
      </c>
      <c r="AP224" s="75" t="s">
        <v>75</v>
      </c>
      <c r="AQ224" s="75" t="s">
        <v>75</v>
      </c>
      <c r="AR224" s="75" t="s">
        <v>76</v>
      </c>
      <c r="AS224" s="234"/>
      <c r="AT224" s="378"/>
      <c r="AU224" s="78"/>
      <c r="AV224" s="235" t="s">
        <v>1804</v>
      </c>
      <c r="AW224" s="236"/>
      <c r="AX224" s="235"/>
      <c r="AY224" s="235"/>
      <c r="AZ224" s="235"/>
      <c r="BA224" s="71"/>
      <c r="BB224" s="71"/>
      <c r="BC224" s="71"/>
      <c r="BD224" s="71"/>
      <c r="BE224" s="127"/>
      <c r="BF224" s="147"/>
      <c r="BG224" s="148"/>
      <c r="BH224" s="149"/>
      <c r="BI224" s="149"/>
    </row>
    <row r="236" spans="2:59" s="65" customFormat="1">
      <c r="B236" s="118" t="s">
        <v>1805</v>
      </c>
      <c r="C236" s="258"/>
      <c r="D236" s="249" t="s">
        <v>1806</v>
      </c>
      <c r="F236" s="228" t="s">
        <v>1807</v>
      </c>
      <c r="G236" s="66"/>
      <c r="I236" s="66"/>
      <c r="J236" s="66"/>
      <c r="L236" s="66"/>
      <c r="M236" s="66"/>
      <c r="N236" s="66"/>
      <c r="O236" s="66"/>
      <c r="P236" s="66"/>
      <c r="Q236" s="66"/>
      <c r="R236" s="66"/>
      <c r="S236" s="154"/>
      <c r="T236" s="67"/>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U236" s="68"/>
      <c r="BE236" s="129"/>
      <c r="BF236" s="129"/>
      <c r="BG236" s="134"/>
    </row>
    <row r="237" spans="2:59" s="65" customFormat="1">
      <c r="B237" s="125" t="s">
        <v>1808</v>
      </c>
      <c r="C237" s="254"/>
      <c r="D237" s="250" t="s">
        <v>474</v>
      </c>
      <c r="F237" s="229" t="s">
        <v>1809</v>
      </c>
      <c r="G237" s="66"/>
      <c r="I237" s="66"/>
      <c r="J237" s="66" t="s">
        <v>1810</v>
      </c>
      <c r="L237" s="66"/>
      <c r="M237" s="66"/>
      <c r="N237" s="66"/>
      <c r="O237" s="66"/>
      <c r="P237" s="66"/>
      <c r="Q237" s="66"/>
      <c r="R237" s="66"/>
      <c r="S237" s="154"/>
      <c r="T237" s="67"/>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U237" s="68"/>
      <c r="BE237" s="129"/>
      <c r="BF237" s="129"/>
      <c r="BG237" s="134"/>
    </row>
    <row r="238" spans="2:59" s="65" customFormat="1">
      <c r="B238" s="208" t="s">
        <v>1747</v>
      </c>
      <c r="C238" s="255"/>
      <c r="D238" s="250" t="s">
        <v>1749</v>
      </c>
      <c r="F238" s="229" t="s">
        <v>1811</v>
      </c>
      <c r="G238" s="66"/>
      <c r="H238" s="207" t="s">
        <v>1812</v>
      </c>
      <c r="I238" s="66"/>
      <c r="J238" s="66" t="s">
        <v>1813</v>
      </c>
      <c r="L238" s="66"/>
      <c r="M238" s="66"/>
      <c r="N238" s="66"/>
      <c r="O238" s="66"/>
      <c r="P238" s="66"/>
      <c r="Q238" s="66"/>
      <c r="R238" s="66"/>
      <c r="S238" s="154"/>
      <c r="T238" s="67"/>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U238" s="68"/>
      <c r="BE238" s="129"/>
      <c r="BF238" s="129"/>
      <c r="BG238" s="134"/>
    </row>
    <row r="239" spans="2:59" s="65" customFormat="1">
      <c r="B239" s="131" t="s">
        <v>897</v>
      </c>
      <c r="C239" s="256"/>
      <c r="D239" s="243" t="s">
        <v>899</v>
      </c>
      <c r="F239" s="229" t="s">
        <v>1814</v>
      </c>
      <c r="G239" s="66"/>
      <c r="I239" s="66"/>
      <c r="J239" s="66" t="s">
        <v>1815</v>
      </c>
      <c r="L239" s="66"/>
      <c r="M239" s="66"/>
      <c r="N239" s="66"/>
      <c r="O239" s="66"/>
      <c r="P239" s="66"/>
      <c r="Q239" s="66"/>
      <c r="R239" s="66"/>
      <c r="S239" s="154"/>
      <c r="T239" s="67"/>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U239" s="68"/>
      <c r="BE239" s="129"/>
      <c r="BF239" s="129"/>
      <c r="BG239" s="134"/>
    </row>
    <row r="240" spans="2:59" s="65" customFormat="1">
      <c r="B240" s="125" t="s">
        <v>1816</v>
      </c>
      <c r="C240" s="254"/>
      <c r="D240" s="250" t="s">
        <v>1817</v>
      </c>
      <c r="F240" s="229" t="s">
        <v>1818</v>
      </c>
      <c r="G240" s="66"/>
      <c r="I240" s="66"/>
      <c r="J240" s="66" t="s">
        <v>1813</v>
      </c>
      <c r="L240" s="66"/>
      <c r="M240" s="66"/>
      <c r="N240" s="66"/>
      <c r="O240" s="66"/>
      <c r="P240" s="66"/>
      <c r="Q240" s="66"/>
      <c r="R240" s="66"/>
      <c r="S240" s="154"/>
      <c r="T240" s="67"/>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U240" s="68"/>
      <c r="BE240" s="129"/>
      <c r="BF240" s="129"/>
      <c r="BG240" s="134"/>
    </row>
    <row r="241" spans="2:64" s="65" customFormat="1">
      <c r="B241" s="208" t="s">
        <v>1819</v>
      </c>
      <c r="C241" s="255"/>
      <c r="D241" s="250" t="s">
        <v>1249</v>
      </c>
      <c r="F241" s="229" t="s">
        <v>1820</v>
      </c>
      <c r="G241" s="66"/>
      <c r="H241" s="207" t="s">
        <v>1812</v>
      </c>
      <c r="I241" s="66"/>
      <c r="J241" s="66" t="s">
        <v>1815</v>
      </c>
      <c r="L241" s="66"/>
      <c r="M241" s="66"/>
      <c r="N241" s="66"/>
      <c r="O241" s="66"/>
      <c r="P241" s="66"/>
      <c r="Q241" s="66"/>
      <c r="R241" s="66"/>
      <c r="S241" s="154"/>
      <c r="T241" s="67"/>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U241" s="68"/>
      <c r="BE241" s="129"/>
      <c r="BF241" s="129"/>
      <c r="BG241" s="134"/>
    </row>
    <row r="242" spans="2:64" s="65" customFormat="1">
      <c r="B242" s="125" t="s">
        <v>1204</v>
      </c>
      <c r="C242" s="257" t="s">
        <v>1205</v>
      </c>
      <c r="D242" s="250" t="s">
        <v>1821</v>
      </c>
      <c r="E242" s="119" t="s">
        <v>1207</v>
      </c>
      <c r="F242" s="229" t="s">
        <v>1822</v>
      </c>
      <c r="G242" s="66"/>
      <c r="I242" s="66"/>
      <c r="J242" s="66" t="s">
        <v>1815</v>
      </c>
      <c r="L242" s="66"/>
      <c r="M242" s="66"/>
      <c r="N242" s="66"/>
      <c r="O242" s="66"/>
      <c r="P242" s="66"/>
      <c r="Q242" s="66"/>
      <c r="R242" s="66"/>
      <c r="S242" s="154"/>
      <c r="T242" s="67"/>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U242" s="68"/>
      <c r="BE242" s="129"/>
      <c r="BF242" s="129"/>
      <c r="BG242" s="134"/>
      <c r="BL242" s="19" t="e">
        <f>VLOOKUP(E242,#REF!,1,FALSE)</f>
        <v>#REF!</v>
      </c>
    </row>
    <row r="243" spans="2:64" s="65" customFormat="1">
      <c r="B243" s="208" t="s">
        <v>1341</v>
      </c>
      <c r="C243" s="255"/>
      <c r="D243" s="250" t="s">
        <v>1823</v>
      </c>
      <c r="F243" s="229" t="s">
        <v>1824</v>
      </c>
      <c r="G243" s="66"/>
      <c r="H243" s="207" t="s">
        <v>1812</v>
      </c>
      <c r="I243" s="66"/>
      <c r="J243" s="66" t="s">
        <v>1815</v>
      </c>
      <c r="L243" s="66"/>
      <c r="M243" s="66"/>
      <c r="N243" s="66"/>
      <c r="O243" s="66"/>
      <c r="P243" s="66"/>
      <c r="Q243" s="66"/>
      <c r="R243" s="66"/>
      <c r="S243" s="154"/>
      <c r="T243" s="67"/>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U243" s="68"/>
      <c r="BE243" s="129"/>
      <c r="BF243" s="129"/>
      <c r="BG243" s="134"/>
    </row>
  </sheetData>
  <hyperlinks>
    <hyperlink ref="AU46" r:id="rId1" display="www.imt-lille-douai.fr" xr:uid="{00000000-0004-0000-0000-000000000000}"/>
    <hyperlink ref="AU75" r:id="rId2" xr:uid="{00000000-0004-0000-0000-000001000000}"/>
    <hyperlink ref="AU115" r:id="rId3" xr:uid="{00000000-0004-0000-0000-000002000000}"/>
    <hyperlink ref="W5" r:id="rId4" xr:uid="{00000000-0004-0000-0000-000003000000}"/>
    <hyperlink ref="W7" r:id="rId5" display="international.ea@ugent.be" xr:uid="{00000000-0004-0000-0000-000004000000}"/>
    <hyperlink ref="W10" r:id="rId6" display="mailto:emmanuelle.brun@uclouvain.be" xr:uid="{00000000-0004-0000-0000-000005000000}"/>
    <hyperlink ref="W12" r:id="rId7" xr:uid="{00000000-0004-0000-0000-000006000000}"/>
    <hyperlink ref="W15" r:id="rId8" display="international.engineering@zhaw.ch" xr:uid="{00000000-0004-0000-0000-000007000000}"/>
    <hyperlink ref="W33" r:id="rId9" xr:uid="{00000000-0004-0000-0000-000008000000}"/>
    <hyperlink ref="W34" r:id="rId10" xr:uid="{00000000-0004-0000-0000-000009000000}"/>
    <hyperlink ref="W36" r:id="rId11" xr:uid="{00000000-0004-0000-0000-00000A000000}"/>
    <hyperlink ref="W41" r:id="rId12" xr:uid="{00000000-0004-0000-0000-00000B000000}"/>
    <hyperlink ref="W46" r:id="rId13" display="mailto:laurent.baudry@imt-lille-douai.fr" xr:uid="{00000000-0004-0000-0000-00000C000000}"/>
    <hyperlink ref="W45" r:id="rId14" xr:uid="{00000000-0004-0000-0000-00000D000000}"/>
    <hyperlink ref="W52" r:id="rId15" xr:uid="{00000000-0004-0000-0000-00000E000000}"/>
    <hyperlink ref="W66" r:id="rId16" xr:uid="{00000000-0004-0000-0000-00000F000000}"/>
    <hyperlink ref="W69" r:id="rId17" display="erasmus2@uniwa.gr" xr:uid="{00000000-0004-0000-0000-000010000000}"/>
    <hyperlink ref="W70" r:id="rId18" display="luisa.nasta@poliba.it" xr:uid="{00000000-0004-0000-0000-000011000000}"/>
    <hyperlink ref="W73" r:id="rId19" xr:uid="{00000000-0004-0000-0000-000012000000}"/>
    <hyperlink ref="W74" r:id="rId20" display="international@unina.it" xr:uid="{00000000-0004-0000-0000-000013000000}"/>
    <hyperlink ref="W83" r:id="rId21" xr:uid="{00000000-0004-0000-0000-000014000000}"/>
    <hyperlink ref="W85" r:id="rId22" xr:uid="{00000000-0004-0000-0000-000015000000}"/>
    <hyperlink ref="W78" r:id="rId23" xr:uid="{00000000-0004-0000-0000-000016000000}"/>
    <hyperlink ref="W80" r:id="rId24" xr:uid="{00000000-0004-0000-0000-000017000000}"/>
    <hyperlink ref="W87" r:id="rId25" xr:uid="{00000000-0004-0000-0000-000019000000}"/>
    <hyperlink ref="W92" r:id="rId26" display="paula.lopes@tecnico.ulisboa.pt" xr:uid="{00000000-0004-0000-0000-00001A000000}"/>
    <hyperlink ref="W98" r:id="rId27" xr:uid="{00000000-0004-0000-0000-00001B000000}"/>
    <hyperlink ref="W97" r:id="rId28" xr:uid="{00000000-0004-0000-0000-00001C000000}"/>
    <hyperlink ref="W100" r:id="rId29" xr:uid="{00000000-0004-0000-0000-00001D000000}"/>
    <hyperlink ref="W101" r:id="rId30" xr:uid="{00000000-0004-0000-0000-00001E000000}"/>
    <hyperlink ref="W108" r:id="rId31" xr:uid="{00000000-0004-0000-0000-00001F000000}"/>
    <hyperlink ref="W103" r:id="rId32" xr:uid="{00000000-0004-0000-0000-000020000000}"/>
    <hyperlink ref="W105" r:id="rId33" display="mailto:incoming.student@ju.se" xr:uid="{00000000-0004-0000-0000-000021000000}"/>
    <hyperlink ref="W113" r:id="rId34" display="mailto:idt-international@mdh.se" xr:uid="{00000000-0004-0000-0000-000023000000}"/>
    <hyperlink ref="W115" r:id="rId35" display="mailto:Eeva.Virtanen@xamk.fi" xr:uid="{00000000-0004-0000-0000-000024000000}"/>
    <hyperlink ref="W116" r:id="rId36" xr:uid="{00000000-0004-0000-0000-000025000000}"/>
    <hyperlink ref="W120" r:id="rId37" xr:uid="{00000000-0004-0000-0000-000026000000}"/>
    <hyperlink ref="W121" r:id="rId38" xr:uid="{00000000-0004-0000-0000-000027000000}"/>
    <hyperlink ref="W122" r:id="rId39" xr:uid="{00000000-0004-0000-0000-000028000000}"/>
    <hyperlink ref="W29" r:id="rId40" display="internationaloffice@aau.dk" xr:uid="{00000000-0004-0000-0000-000029000000}"/>
    <hyperlink ref="W63" r:id="rId41" display="mailto:relint.incoming@insa-toulouse.fr" xr:uid="{00000000-0004-0000-0000-00002A000000}"/>
    <hyperlink ref="W22" r:id="rId42" xr:uid="{00000000-0004-0000-0000-00002B000000}"/>
    <hyperlink ref="W81" r:id="rId43" display="incoming.students@uniroma3.it; outgoing.students@uniroma3.it" xr:uid="{00000000-0004-0000-0000-00002C000000}"/>
    <hyperlink ref="W3" r:id="rId44" display="sofia.fontesesousadeoliveira@fh-joanneum.at" xr:uid="{00000000-0004-0000-0000-00002E000000}"/>
    <hyperlink ref="W67" r:id="rId45" xr:uid="{00000000-0004-0000-0000-00002F000000}"/>
    <hyperlink ref="W68" r:id="rId46" xr:uid="{00000000-0004-0000-0000-000030000000}"/>
    <hyperlink ref="W4" r:id="rId47" display="Daniel.Dassisi@mci.edu" xr:uid="{00000000-0004-0000-0000-000031000000}"/>
    <hyperlink ref="W82" r:id="rId48" xr:uid="{00000000-0004-0000-0000-000032000000}"/>
    <hyperlink ref="AU3" r:id="rId49" display="https://www.fh-joanneum.at/en/international/study-programmes/international-programme-kapfenberg/ " xr:uid="{00000000-0004-0000-0000-000033000000}"/>
    <hyperlink ref="W104" r:id="rId50" display="radovanovic@etf.bg.ac.rs" xr:uid="{00000000-0004-0000-0000-000034000000}"/>
    <hyperlink ref="W71" r:id="rId51" xr:uid="{00000000-0004-0000-0000-000035000000}"/>
    <hyperlink ref="W9" r:id="rId52" display="mobil.in@uliege.be" xr:uid="{00000000-0004-0000-0000-000036000000}"/>
    <hyperlink ref="W135" r:id="rId53" xr:uid="{00000000-0004-0000-0000-000037000000}"/>
    <hyperlink ref="X135" r:id="rId54" display="luis.salgado@upm.es" xr:uid="{00000000-0004-0000-0000-000039000000}"/>
    <hyperlink ref="W40" r:id="rId55" display="carine.morotti-delorme@centralesupelec.fr" xr:uid="{00000000-0004-0000-0000-00003A000000}"/>
    <hyperlink ref="X102" r:id="rId56" display="anna.wojcik@pwr.edu.pl" xr:uid="{00000000-0004-0000-0000-00003B000000}"/>
    <hyperlink ref="W60" r:id="rId57" xr:uid="{00000000-0004-0000-0000-00003C000000}"/>
    <hyperlink ref="AU69" r:id="rId58" display="https://secure-web.cisco.com/1e7pMB8uMoCkd60B0uF2eGPhybkku3g8yHKIKVN_6HOTmUjDNbLic130GvbLIeuYkkR2sj50cVpIiFREYYy2Ey7Q1qjDA7OIIU7aDxBqbBm6t4vHwF9EmgzyDq3OFa5hp8vtuISM7BqEtSlShd8RN_i6-lKsE_3iARPrkSRTpJNWj7SzFdlA15VMGYjelN4SE0ZRygR-3uQQq0ozphUnTJdxPQkpRm1a0iuzdJHcnrDkow3Q8fzQjof6bPEn8T6P06gecLsJAClWzC7ox9L2yJfmBrPVjHPwKB0E6DZtJsaY/https%3A%2F%2Ferasmus.uniwa.gr%2Fen%2Ferasmus%2Fcourse-catalogue%2F" xr:uid="{00000000-0004-0000-0000-00003D000000}"/>
    <hyperlink ref="W132" r:id="rId59" display="delegacion.asia@upm.es" xr:uid="{00000000-0004-0000-0000-00003E000000}"/>
    <hyperlink ref="W53" r:id="rId60" xr:uid="{00000000-0004-0000-0000-00003F000000}"/>
    <hyperlink ref="W54" r:id="rId61" xr:uid="{00000000-0004-0000-0000-000040000000}"/>
    <hyperlink ref="W6" r:id="rId62" display="mobilite@ulb.be; international.polytech@ulb.be; alice,hoslet@ulb,be" xr:uid="{00000000-0004-0000-0000-000041000000}"/>
    <hyperlink ref="W32" r:id="rId63" xr:uid="{00000000-0004-0000-0000-000042000000}"/>
    <hyperlink ref="W137" r:id="rId64" display="intercam@upaep.mx " xr:uid="{00000000-0004-0000-0000-000043000000}"/>
    <hyperlink ref="W159" r:id="rId65" xr:uid="{00000000-0004-0000-0000-000044000000}"/>
    <hyperlink ref="W114" r:id="rId66" xr:uid="{00000000-0004-0000-0000-000045000000}"/>
    <hyperlink ref="W75" r:id="rId67" display="erasmus.incomingoffice@uniparthenope.it" xr:uid="{00000000-0004-0000-0000-000046000000}"/>
    <hyperlink ref="W139" r:id="rId68" xr:uid="{00000000-0004-0000-0000-000047000000}"/>
    <hyperlink ref="W94" r:id="rId69" xr:uid="{00000000-0004-0000-0000-000048000000}"/>
    <hyperlink ref="W23" r:id="rId70" xr:uid="{00000000-0004-0000-0000-000049000000}"/>
    <hyperlink ref="W17" r:id="rId71" xr:uid="{00000000-0004-0000-0000-00004A000000}"/>
    <hyperlink ref="W124" r:id="rId72" xr:uid="{00000000-0004-0000-0000-00004B000000}"/>
    <hyperlink ref="W126" r:id="rId73" xr:uid="{00000000-0004-0000-0000-00004C000000}"/>
    <hyperlink ref="AU35" r:id="rId74" display="https://urldefense.com/v3/__https:/isen-nantes.fr/international-accueil/exchange-students/__;!!D9dNQwwGXtA!X4jUrp1qD2y4abzZqw9DExCgzy50PGHn1K2T96Ho6C4d0TZFfHqGnjfp6re882NiZJJtXf4Jb2L-zUX3jP33piWdQweNrlpr-nN97Q$" xr:uid="{00000000-0004-0000-0000-00004D000000}"/>
    <hyperlink ref="W37" r:id="rId75" xr:uid="{00000000-0004-0000-0000-00004E000000}"/>
    <hyperlink ref="W57" r:id="rId76" xr:uid="{00000000-0004-0000-0000-00004F000000}"/>
    <hyperlink ref="W160" r:id="rId77" display="manuela.velez69@eia.edu.co, carlos.oviedo28@eia.edu.co" xr:uid="{00000000-0004-0000-0000-000050000000}"/>
    <hyperlink ref="W43" r:id="rId78" xr:uid="{00000000-0004-0000-0000-000051000000}"/>
    <hyperlink ref="W152" r:id="rId79" display="mailto:delegacion.asia@upm.es" xr:uid="{00000000-0004-0000-0000-000052000000}"/>
    <hyperlink ref="W153" r:id="rId80" display="mailto:delegacion.asia@upm.es" xr:uid="{00000000-0004-0000-0000-000053000000}"/>
    <hyperlink ref="W154" r:id="rId81" display="mailto:delegacion.asia@upm.es" xr:uid="{00000000-0004-0000-0000-000054000000}"/>
    <hyperlink ref="W155" r:id="rId82" display="mailto:delegacion.asia@upm.es" xr:uid="{00000000-0004-0000-0000-000055000000}"/>
    <hyperlink ref="W176" r:id="rId83" display="mailto:delegacion.asia@upm.es" xr:uid="{00000000-0004-0000-0000-000056000000}"/>
    <hyperlink ref="W172" r:id="rId84" display="mailto:delegacion.asia@upm.es" xr:uid="{00000000-0004-0000-0000-000057000000}"/>
    <hyperlink ref="W156" r:id="rId85" display="mailto:delegacion.asia@upm.es" xr:uid="{00000000-0004-0000-0000-000058000000}"/>
    <hyperlink ref="W157" r:id="rId86" display="mailto:delegacion.asia@upm.es" xr:uid="{00000000-0004-0000-0000-000059000000}"/>
    <hyperlink ref="W158" r:id="rId87" display="mailto:delegacion.asia@upm.es" xr:uid="{00000000-0004-0000-0000-00005A000000}"/>
    <hyperlink ref="W55" r:id="rId88" xr:uid="{00000000-0004-0000-0000-00005C000000}"/>
    <hyperlink ref="W123" r:id="rId89" xr:uid="{00000000-0004-0000-0000-00005D000000}"/>
    <hyperlink ref="W111" r:id="rId90" xr:uid="{00000000-0004-0000-0000-00005E000000}"/>
    <hyperlink ref="W107" r:id="rId91" xr:uid="{00000000-0004-0000-0000-00005F000000}"/>
    <hyperlink ref="W99" r:id="rId92" xr:uid="{00000000-0004-0000-0000-000060000000}"/>
    <hyperlink ref="W72" r:id="rId93" xr:uid="{00000000-0004-0000-0000-000061000000}"/>
    <hyperlink ref="W79" r:id="rId94" xr:uid="{00000000-0004-0000-0000-000062000000}"/>
    <hyperlink ref="W181" r:id="rId95" display="Guilherme.injo@maua.br" xr:uid="{00000000-0004-0000-0000-000063000000}"/>
    <hyperlink ref="W191" r:id="rId96" xr:uid="{00000000-0004-0000-0000-000064000000}"/>
    <hyperlink ref="W146" r:id="rId97" xr:uid="{00000000-0004-0000-0000-000065000000}"/>
    <hyperlink ref="W110" r:id="rId98" xr:uid="{00000000-0004-0000-0000-000066000000}"/>
    <hyperlink ref="W50" r:id="rId99" xr:uid="{00000000-0004-0000-0000-000068000000}"/>
    <hyperlink ref="W48" r:id="rId100" xr:uid="{00000000-0004-0000-0000-000069000000}"/>
    <hyperlink ref="W189" r:id="rId101" xr:uid="{00000000-0004-0000-0000-00006A000000}"/>
    <hyperlink ref="W19" r:id="rId102" xr:uid="{00000000-0004-0000-0000-00006B000000}"/>
    <hyperlink ref="W49" r:id="rId103" xr:uid="{00000000-0004-0000-0000-00006C000000}"/>
    <hyperlink ref="W90" r:id="rId104" xr:uid="{00000000-0004-0000-0000-00006D000000}"/>
    <hyperlink ref="W119" r:id="rId105" xr:uid="{00000000-0004-0000-0000-00006E000000}"/>
    <hyperlink ref="W14" r:id="rId106" xr:uid="{00000000-0004-0000-0000-00006F000000}"/>
    <hyperlink ref="W112" r:id="rId107" xr:uid="{00000000-0004-0000-0000-000070000000}"/>
    <hyperlink ref="W13" r:id="rId108" xr:uid="{00000000-0004-0000-0000-000071000000}"/>
    <hyperlink ref="W193" r:id="rId109" xr:uid="{00000000-0004-0000-0000-000072000000}"/>
    <hyperlink ref="W118" r:id="rId110" xr:uid="{00000000-0004-0000-0000-000073000000}"/>
    <hyperlink ref="W24" r:id="rId111" xr:uid="{00000000-0004-0000-0000-000074000000}"/>
    <hyperlink ref="W2" r:id="rId112" xr:uid="{00000000-0004-0000-0000-000075000000}"/>
    <hyperlink ref="BB13" r:id="rId113" display="mailto:sac-exchange-in@epfl.ch" xr:uid="{00000000-0004-0000-0000-000076000000}"/>
    <hyperlink ref="BB137" r:id="rId114" display="mailto:jeanine.lopez@upaep.mx" xr:uid="{00000000-0004-0000-0000-000077000000}"/>
    <hyperlink ref="W109" r:id="rId115" xr:uid="{57FD4B78-A00F-4EB1-B69F-778551CB644E}"/>
    <hyperlink ref="W38" r:id="rId116" xr:uid="{6F325EAB-46F4-41CB-AB5A-FEC2B485EFC1}"/>
    <hyperlink ref="W143" r:id="rId117" display="cfchiu@ntu.edu.tw" xr:uid="{1C458D23-1CFC-4096-9A1C-0BC31A548094}"/>
    <hyperlink ref="W26" r:id="rId118" xr:uid="{E4CBBB6E-3004-4AE5-A69E-A2138922743A}"/>
    <hyperlink ref="W59" r:id="rId119" xr:uid="{89C0483F-0790-4E2D-B26A-7C71EDE000F3}"/>
    <hyperlink ref="W150" r:id="rId120" xr:uid="{C51665B0-7DD1-441A-8D51-B6E17EB51218}"/>
    <hyperlink ref="W138" r:id="rId121" xr:uid="{9567008C-7770-4FDC-A831-021B1EB28766}"/>
    <hyperlink ref="W175" r:id="rId122" xr:uid="{028235C7-3D71-4F3F-AB69-6A39821885CA}"/>
    <hyperlink ref="W25" r:id="rId123" xr:uid="{29BF9588-7669-45F5-A0A1-20854B90F211}"/>
    <hyperlink ref="W178" r:id="rId124" xr:uid="{1F849D31-7A68-456A-971A-D460BEDB9392}"/>
    <hyperlink ref="W42" r:id="rId125" xr:uid="{81AF1CD5-EF08-4996-80DC-21FECE13D375}"/>
    <hyperlink ref="W130" r:id="rId126" display="isabel.ortiz@upm.es; " xr:uid="{507D5318-69E4-4CD9-BE8D-621F0E57E4C1}"/>
    <hyperlink ref="X130" r:id="rId127" display="luis.salgado@upm.es" xr:uid="{8051D726-232A-4E49-B310-198C78026654}"/>
    <hyperlink ref="W31" r:id="rId128" xr:uid="{7B7378B9-0169-4611-B81B-01D970FEE746}"/>
    <hyperlink ref="AU37" r:id="rId129" xr:uid="{92E22B5D-89F8-429F-BA48-A3D32479C08C}"/>
    <hyperlink ref="W61" r:id="rId130" xr:uid="{269C60B5-8286-4173-B7CC-BCF9646107A3}"/>
    <hyperlink ref="W182" r:id="rId131" display="mailto:relint@utp.edu.co" xr:uid="{67E0FF4D-ED27-4C3E-BC96-EA95B7CF7223}"/>
    <hyperlink ref="W141" r:id="rId132" xr:uid="{9C913434-9FE2-4D13-B99F-5B8D48F2F96F}"/>
    <hyperlink ref="W133" r:id="rId133" display="mailto:misato.nozawa@adst.keio.ac.jp" xr:uid="{6228C44C-9218-4B10-869A-32F45D072126}"/>
    <hyperlink ref="W134" r:id="rId134" xr:uid="{379FF337-6864-4F8E-89FB-1FE2B4D0E6BA}"/>
    <hyperlink ref="W84" r:id="rId135" tooltip="mailto:Incoming.erasmus@ul.ie" display="mailto:Incoming.erasmus@ul.ie" xr:uid="{87D14328-7589-4BEF-B924-17B14A6F9E58}"/>
    <hyperlink ref="W194" r:id="rId136" xr:uid="{0BA03EB6-CAF0-420F-AC67-5BCCFF18E021}"/>
  </hyperlinks>
  <pageMargins left="0.7" right="0.7" top="0.75" bottom="0.75" header="0.3" footer="0.3"/>
  <pageSetup paperSize="9" scale="91" orientation="landscape" r:id="rId137"/>
  <legacyDrawing r:id="rId138"/>
  <tableParts count="1">
    <tablePart r:id="rId13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B4"/>
  <sheetViews>
    <sheetView workbookViewId="0">
      <selection activeCell="A4" sqref="A4"/>
    </sheetView>
  </sheetViews>
  <sheetFormatPr defaultColWidth="9.140625" defaultRowHeight="15"/>
  <cols>
    <col min="1" max="1" width="11.42578125" customWidth="1"/>
    <col min="2" max="2" width="34.28515625" customWidth="1"/>
    <col min="3" max="256" width="11.42578125" customWidth="1"/>
  </cols>
  <sheetData>
    <row r="1" spans="1:54" s="173" customFormat="1" ht="69" customHeight="1">
      <c r="A1" s="184" t="s">
        <v>1825</v>
      </c>
      <c r="B1" s="157" t="s">
        <v>1</v>
      </c>
      <c r="C1" s="158" t="s">
        <v>3</v>
      </c>
      <c r="D1" s="159" t="s">
        <v>4</v>
      </c>
      <c r="E1" s="159" t="s">
        <v>1826</v>
      </c>
      <c r="F1" s="159" t="s">
        <v>1827</v>
      </c>
      <c r="G1" s="159" t="s">
        <v>1828</v>
      </c>
      <c r="H1" s="161" t="s">
        <v>1829</v>
      </c>
      <c r="I1" s="179" t="s">
        <v>1830</v>
      </c>
      <c r="J1" s="179" t="s">
        <v>15</v>
      </c>
      <c r="K1" s="179" t="s">
        <v>16</v>
      </c>
      <c r="L1" s="179" t="s">
        <v>17</v>
      </c>
      <c r="M1" s="175" t="s">
        <v>1831</v>
      </c>
      <c r="N1" s="160" t="s">
        <v>18</v>
      </c>
      <c r="O1" s="159" t="s">
        <v>1832</v>
      </c>
      <c r="P1" s="159" t="s">
        <v>1833</v>
      </c>
      <c r="Q1" s="161" t="s">
        <v>13</v>
      </c>
      <c r="R1" s="56" t="s">
        <v>19</v>
      </c>
      <c r="S1" s="162" t="s">
        <v>20</v>
      </c>
      <c r="T1" s="163" t="s">
        <v>21</v>
      </c>
      <c r="U1" s="163" t="s">
        <v>22</v>
      </c>
      <c r="V1" s="163" t="s">
        <v>23</v>
      </c>
      <c r="W1" s="164" t="s">
        <v>24</v>
      </c>
      <c r="X1" s="165" t="s">
        <v>25</v>
      </c>
      <c r="Y1" s="166" t="s">
        <v>26</v>
      </c>
      <c r="Z1" s="167" t="s">
        <v>28</v>
      </c>
      <c r="AA1" s="165" t="s">
        <v>30</v>
      </c>
      <c r="AB1" s="165" t="s">
        <v>31</v>
      </c>
      <c r="AC1" s="165" t="s">
        <v>32</v>
      </c>
      <c r="AD1" s="165" t="s">
        <v>33</v>
      </c>
      <c r="AE1" s="165" t="s">
        <v>34</v>
      </c>
      <c r="AF1" s="165" t="s">
        <v>35</v>
      </c>
      <c r="AG1" s="165" t="s">
        <v>36</v>
      </c>
      <c r="AH1" s="165" t="s">
        <v>37</v>
      </c>
      <c r="AI1" s="165" t="s">
        <v>38</v>
      </c>
      <c r="AJ1" s="165" t="s">
        <v>39</v>
      </c>
      <c r="AK1" s="168" t="s">
        <v>40</v>
      </c>
      <c r="AL1" s="168" t="s">
        <v>41</v>
      </c>
      <c r="AM1" s="168" t="s">
        <v>42</v>
      </c>
      <c r="AN1" s="168" t="s">
        <v>43</v>
      </c>
      <c r="AO1" s="161" t="s">
        <v>44</v>
      </c>
      <c r="AP1" s="172" t="s">
        <v>46</v>
      </c>
      <c r="AQ1" s="169" t="s">
        <v>47</v>
      </c>
      <c r="AR1" s="170" t="s">
        <v>48</v>
      </c>
      <c r="AS1" s="56" t="s">
        <v>49</v>
      </c>
      <c r="AT1" s="56" t="s">
        <v>50</v>
      </c>
      <c r="AU1" s="56" t="s">
        <v>51</v>
      </c>
      <c r="AV1" s="56" t="s">
        <v>52</v>
      </c>
      <c r="AW1" s="56" t="s">
        <v>53</v>
      </c>
      <c r="AX1" s="56" t="s">
        <v>54</v>
      </c>
      <c r="AY1" s="56" t="s">
        <v>1834</v>
      </c>
      <c r="AZ1" s="171" t="s">
        <v>56</v>
      </c>
      <c r="BA1" s="171" t="s">
        <v>57</v>
      </c>
      <c r="BB1" s="126" t="s">
        <v>58</v>
      </c>
    </row>
    <row r="2" spans="1:54" s="19" customFormat="1" ht="20.100000000000001" customHeight="1">
      <c r="A2" s="19" t="s">
        <v>1835</v>
      </c>
      <c r="B2" s="33" t="s">
        <v>1836</v>
      </c>
      <c r="C2" s="6" t="s">
        <v>1837</v>
      </c>
      <c r="D2" s="6" t="s">
        <v>1838</v>
      </c>
      <c r="E2" s="6" t="s">
        <v>285</v>
      </c>
      <c r="F2" s="13" t="s">
        <v>1839</v>
      </c>
      <c r="G2" s="13" t="s">
        <v>1840</v>
      </c>
      <c r="H2" s="11" t="s">
        <v>169</v>
      </c>
      <c r="I2" s="6"/>
      <c r="J2" s="6" t="s">
        <v>70</v>
      </c>
      <c r="K2" s="6"/>
      <c r="L2" s="6"/>
      <c r="M2" s="176">
        <v>714</v>
      </c>
      <c r="N2" s="150" t="s">
        <v>194</v>
      </c>
      <c r="O2" s="6"/>
      <c r="P2" s="6"/>
      <c r="Q2" s="11" t="s">
        <v>69</v>
      </c>
      <c r="R2" s="6" t="s">
        <v>72</v>
      </c>
      <c r="S2" s="36">
        <v>2</v>
      </c>
      <c r="T2" s="55">
        <v>12</v>
      </c>
      <c r="U2" s="55" t="s">
        <v>1841</v>
      </c>
      <c r="V2" s="55" t="s">
        <v>125</v>
      </c>
      <c r="W2" s="6" t="s">
        <v>75</v>
      </c>
      <c r="X2" s="6" t="s">
        <v>75</v>
      </c>
      <c r="Y2" s="6" t="s">
        <v>76</v>
      </c>
      <c r="Z2" s="6" t="s">
        <v>75</v>
      </c>
      <c r="AA2" s="16" t="s">
        <v>75</v>
      </c>
      <c r="AB2" s="16" t="s">
        <v>75</v>
      </c>
      <c r="AC2" s="21" t="s">
        <v>75</v>
      </c>
      <c r="AD2" s="16" t="s">
        <v>75</v>
      </c>
      <c r="AE2" s="16" t="s">
        <v>75</v>
      </c>
      <c r="AF2" s="16" t="s">
        <v>75</v>
      </c>
      <c r="AG2" s="16" t="s">
        <v>75</v>
      </c>
      <c r="AH2" s="16" t="s">
        <v>75</v>
      </c>
      <c r="AI2" s="16" t="s">
        <v>75</v>
      </c>
      <c r="AJ2" s="16" t="s">
        <v>75</v>
      </c>
      <c r="AK2" s="11" t="s">
        <v>75</v>
      </c>
      <c r="AL2" s="11" t="s">
        <v>75</v>
      </c>
      <c r="AM2" s="11" t="s">
        <v>75</v>
      </c>
      <c r="AN2" s="11" t="s">
        <v>76</v>
      </c>
      <c r="AO2" s="17" t="s">
        <v>1842</v>
      </c>
      <c r="AP2" s="24" t="s">
        <v>1843</v>
      </c>
      <c r="AQ2" s="35"/>
      <c r="AS2" s="13"/>
      <c r="AT2" s="13" t="s">
        <v>81</v>
      </c>
      <c r="AU2" s="13" t="s">
        <v>1844</v>
      </c>
      <c r="AV2" s="13" t="s">
        <v>1845</v>
      </c>
      <c r="AW2" s="13"/>
      <c r="AX2" s="13" t="s">
        <v>84</v>
      </c>
      <c r="AY2" s="13"/>
      <c r="AZ2" s="127" t="s">
        <v>1846</v>
      </c>
      <c r="BA2" s="132" t="s">
        <v>1836</v>
      </c>
      <c r="BB2" s="83" t="s">
        <v>1836</v>
      </c>
    </row>
    <row r="3" spans="1:54">
      <c r="B3" s="31" t="s">
        <v>1847</v>
      </c>
      <c r="C3" s="6" t="s">
        <v>1848</v>
      </c>
      <c r="D3" s="6" t="s">
        <v>1849</v>
      </c>
      <c r="E3" s="6" t="s">
        <v>1057</v>
      </c>
      <c r="F3" s="13" t="s">
        <v>1850</v>
      </c>
      <c r="G3" s="13" t="s">
        <v>170</v>
      </c>
      <c r="H3" s="11" t="s">
        <v>1496</v>
      </c>
      <c r="I3" s="6" t="s">
        <v>70</v>
      </c>
      <c r="J3" s="6" t="s">
        <v>70</v>
      </c>
      <c r="K3" s="6"/>
      <c r="L3" s="6"/>
      <c r="M3" s="176">
        <v>713</v>
      </c>
      <c r="N3" s="152" t="s">
        <v>830</v>
      </c>
      <c r="O3" s="23">
        <v>714</v>
      </c>
      <c r="P3" s="6"/>
      <c r="Q3" s="11" t="s">
        <v>69</v>
      </c>
      <c r="R3" s="6" t="s">
        <v>72</v>
      </c>
      <c r="S3" s="36">
        <v>4</v>
      </c>
      <c r="T3" s="55">
        <v>6</v>
      </c>
      <c r="U3" s="144" t="s">
        <v>1851</v>
      </c>
      <c r="V3" s="55" t="s">
        <v>125</v>
      </c>
      <c r="W3" s="6" t="s">
        <v>75</v>
      </c>
      <c r="X3" s="6" t="s">
        <v>75</v>
      </c>
      <c r="Y3" s="6" t="s">
        <v>76</v>
      </c>
      <c r="Z3" s="6" t="s">
        <v>75</v>
      </c>
      <c r="AA3" s="16" t="s">
        <v>75</v>
      </c>
      <c r="AB3" s="16" t="s">
        <v>75</v>
      </c>
      <c r="AC3" s="16" t="s">
        <v>75</v>
      </c>
      <c r="AD3" s="16" t="s">
        <v>75</v>
      </c>
      <c r="AE3" s="16" t="s">
        <v>75</v>
      </c>
      <c r="AF3" s="16" t="s">
        <v>76</v>
      </c>
      <c r="AG3" s="16" t="s">
        <v>76</v>
      </c>
      <c r="AH3" s="16" t="s">
        <v>76</v>
      </c>
      <c r="AI3" s="16" t="s">
        <v>76</v>
      </c>
      <c r="AJ3" s="16" t="s">
        <v>76</v>
      </c>
      <c r="AK3" s="11" t="s">
        <v>75</v>
      </c>
      <c r="AL3" s="11" t="s">
        <v>76</v>
      </c>
      <c r="AM3" s="11" t="s">
        <v>75</v>
      </c>
      <c r="AN3" s="11" t="s">
        <v>76</v>
      </c>
      <c r="AO3" s="27" t="s">
        <v>1852</v>
      </c>
      <c r="AP3" s="18" t="s">
        <v>1853</v>
      </c>
      <c r="AQ3" s="32"/>
      <c r="AR3" s="19"/>
      <c r="AS3" s="13"/>
      <c r="AT3" s="92" t="s">
        <v>81</v>
      </c>
      <c r="AU3" s="92" t="s">
        <v>1854</v>
      </c>
      <c r="AV3" s="92"/>
      <c r="AW3" s="92"/>
      <c r="AX3" s="92" t="s">
        <v>721</v>
      </c>
      <c r="AY3" s="92"/>
      <c r="AZ3" s="127">
        <f>VLOOKUP(B3,'TEAMS_30-09-2021'!$D:$AG,30,FALSE)</f>
        <v>0</v>
      </c>
      <c r="BA3" s="127" t="e">
        <f>VLOOKUP(B3,'ENCUESTAS JUN-2021'!I:I,1,FALSE)</f>
        <v>#N/A</v>
      </c>
      <c r="BB3" s="83" t="str">
        <f>VLOOKUP(B3,'TEAMS_30-09-2021'!D:D,1,FALSE)</f>
        <v>Technische Universiteit Delft</v>
      </c>
    </row>
    <row r="4" spans="1:54">
      <c r="B4" s="31" t="s">
        <v>1855</v>
      </c>
      <c r="C4" s="14" t="s">
        <v>150</v>
      </c>
      <c r="D4" s="6" t="s">
        <v>1856</v>
      </c>
      <c r="E4" s="6" t="s">
        <v>137</v>
      </c>
      <c r="F4" s="15" t="s">
        <v>152</v>
      </c>
      <c r="G4" s="15"/>
      <c r="H4" s="25" t="s">
        <v>153</v>
      </c>
      <c r="I4" s="6" t="s">
        <v>70</v>
      </c>
      <c r="J4" s="6"/>
      <c r="K4" s="6"/>
      <c r="L4" s="6"/>
      <c r="M4" s="177">
        <v>713</v>
      </c>
      <c r="N4" s="151" t="s">
        <v>401</v>
      </c>
      <c r="O4" s="73"/>
      <c r="P4" s="14"/>
      <c r="Q4" s="25" t="s">
        <v>69</v>
      </c>
      <c r="R4" s="6" t="s">
        <v>72</v>
      </c>
      <c r="S4" s="36">
        <v>3</v>
      </c>
      <c r="T4" s="52">
        <v>5</v>
      </c>
      <c r="U4" s="52" t="s">
        <v>1857</v>
      </c>
      <c r="V4" s="52"/>
      <c r="W4" s="14" t="s">
        <v>76</v>
      </c>
      <c r="X4" s="14" t="s">
        <v>76</v>
      </c>
      <c r="Y4" s="14" t="s">
        <v>76</v>
      </c>
      <c r="Z4" s="14" t="s">
        <v>75</v>
      </c>
      <c r="AA4" s="21" t="s">
        <v>76</v>
      </c>
      <c r="AB4" s="21" t="s">
        <v>76</v>
      </c>
      <c r="AC4" s="21" t="s">
        <v>76</v>
      </c>
      <c r="AD4" s="21" t="s">
        <v>76</v>
      </c>
      <c r="AE4" s="21" t="s">
        <v>76</v>
      </c>
      <c r="AF4" s="21" t="s">
        <v>76</v>
      </c>
      <c r="AG4" s="21" t="s">
        <v>76</v>
      </c>
      <c r="AH4" s="21" t="s">
        <v>76</v>
      </c>
      <c r="AI4" s="21" t="s">
        <v>76</v>
      </c>
      <c r="AJ4" s="21" t="s">
        <v>76</v>
      </c>
      <c r="AK4" s="11" t="s">
        <v>75</v>
      </c>
      <c r="AL4" s="11" t="s">
        <v>75</v>
      </c>
      <c r="AM4" s="11" t="s">
        <v>75</v>
      </c>
      <c r="AN4" s="11" t="s">
        <v>76</v>
      </c>
      <c r="AO4" s="17" t="s">
        <v>1858</v>
      </c>
      <c r="AP4" s="12"/>
      <c r="AQ4" s="32" t="s">
        <v>1859</v>
      </c>
      <c r="AR4" s="19"/>
      <c r="AS4" s="13" t="s">
        <v>1860</v>
      </c>
      <c r="AT4" s="89" t="s">
        <v>81</v>
      </c>
      <c r="AU4" s="89" t="s">
        <v>1861</v>
      </c>
      <c r="AV4" s="89"/>
      <c r="AW4" s="89"/>
      <c r="AX4" s="89" t="s">
        <v>84</v>
      </c>
      <c r="AY4" s="89"/>
      <c r="AZ4" s="127">
        <f>VLOOKUP(B4,'TEAMS_30-09-2021'!$D:$AG,30,FALSE)</f>
        <v>0</v>
      </c>
      <c r="BA4" s="127"/>
      <c r="BB4" s="83" t="str">
        <f>VLOOKUP(B4,'TEAMS_30-09-2021'!D:D,1,FALSE)</f>
        <v>Universiteit Gent</v>
      </c>
    </row>
  </sheetData>
  <hyperlinks>
    <hyperlink ref="M2" r:id="rId1" display="http://www.uni-ulm.de/io/exchange/studies.html" xr:uid="{00000000-0004-0000-0100-000000000000}"/>
    <hyperlink ref="M3" r:id="rId2" display="http://www.tudelft.nl/index.php?id=6755&amp;L=1" xr:uid="{00000000-0004-0000-0100-000001000000}"/>
    <hyperlink ref="O3" r:id="rId3" display="http://www.tudelft.nl/index.php?id=6755&amp;L=1" xr:uid="{00000000-0004-0000-0100-000002000000}"/>
    <hyperlink ref="U3"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BG18"/>
  <sheetViews>
    <sheetView workbookViewId="0">
      <selection activeCell="A2" sqref="A2"/>
    </sheetView>
  </sheetViews>
  <sheetFormatPr defaultColWidth="9.140625" defaultRowHeight="15"/>
  <cols>
    <col min="1" max="1" width="31.28515625" customWidth="1"/>
    <col min="2" max="2" width="14" customWidth="1"/>
    <col min="3" max="3" width="13.7109375" customWidth="1"/>
    <col min="4" max="8" width="11.42578125" customWidth="1"/>
    <col min="9" max="9" width="24" customWidth="1"/>
    <col min="10" max="11" width="11.42578125" customWidth="1"/>
    <col min="12" max="12" width="22" customWidth="1"/>
    <col min="13" max="13" width="20.42578125" customWidth="1"/>
    <col min="14" max="14" width="19.140625" customWidth="1"/>
    <col min="15" max="15" width="21.7109375" customWidth="1"/>
    <col min="16" max="25" width="11.42578125" customWidth="1"/>
    <col min="26" max="26" width="78.85546875" customWidth="1"/>
    <col min="27" max="27" width="174.85546875" customWidth="1"/>
    <col min="28" max="256" width="11.42578125" customWidth="1"/>
  </cols>
  <sheetData>
    <row r="1" spans="1:59" s="173" customFormat="1" ht="20.100000000000001" customHeight="1">
      <c r="A1" s="157" t="s">
        <v>1</v>
      </c>
      <c r="B1" s="158" t="s">
        <v>3</v>
      </c>
      <c r="C1" s="159" t="s">
        <v>4</v>
      </c>
      <c r="D1" s="159" t="s">
        <v>5</v>
      </c>
      <c r="E1" s="203" t="s">
        <v>7</v>
      </c>
      <c r="F1" s="204" t="s">
        <v>8</v>
      </c>
      <c r="G1" s="204" t="s">
        <v>9</v>
      </c>
      <c r="H1" s="201" t="s">
        <v>10</v>
      </c>
      <c r="I1" s="202" t="s">
        <v>11</v>
      </c>
      <c r="J1" s="202" t="s">
        <v>12</v>
      </c>
      <c r="K1" s="161" t="s">
        <v>13</v>
      </c>
      <c r="L1" s="179" t="s">
        <v>1830</v>
      </c>
      <c r="M1" s="179" t="s">
        <v>15</v>
      </c>
      <c r="N1" s="179" t="s">
        <v>16</v>
      </c>
      <c r="O1" s="179" t="s">
        <v>17</v>
      </c>
      <c r="P1" s="160" t="s">
        <v>18</v>
      </c>
      <c r="Q1" s="56" t="s">
        <v>19</v>
      </c>
      <c r="R1" s="162" t="s">
        <v>20</v>
      </c>
      <c r="S1" s="163" t="s">
        <v>21</v>
      </c>
      <c r="T1" s="163" t="s">
        <v>22</v>
      </c>
      <c r="U1" s="163" t="s">
        <v>23</v>
      </c>
      <c r="V1" s="164" t="s">
        <v>24</v>
      </c>
      <c r="W1" s="166" t="s">
        <v>25</v>
      </c>
      <c r="X1" s="166" t="s">
        <v>26</v>
      </c>
      <c r="Y1" s="166" t="s">
        <v>27</v>
      </c>
      <c r="Z1" s="167" t="s">
        <v>28</v>
      </c>
      <c r="AA1" s="165" t="s">
        <v>30</v>
      </c>
      <c r="AB1" s="165" t="s">
        <v>31</v>
      </c>
      <c r="AC1" s="165" t="s">
        <v>32</v>
      </c>
      <c r="AD1" s="165" t="s">
        <v>33</v>
      </c>
      <c r="AE1" s="165" t="s">
        <v>34</v>
      </c>
      <c r="AF1" s="165" t="s">
        <v>35</v>
      </c>
      <c r="AG1" s="165" t="s">
        <v>36</v>
      </c>
      <c r="AH1" s="165" t="s">
        <v>37</v>
      </c>
      <c r="AI1" s="165" t="s">
        <v>38</v>
      </c>
      <c r="AJ1" s="165" t="s">
        <v>39</v>
      </c>
      <c r="AK1" s="168" t="s">
        <v>40</v>
      </c>
      <c r="AL1" s="168" t="s">
        <v>41</v>
      </c>
      <c r="AM1" s="168" t="s">
        <v>42</v>
      </c>
      <c r="AN1" s="168" t="s">
        <v>43</v>
      </c>
      <c r="AO1" s="161" t="s">
        <v>44</v>
      </c>
      <c r="AP1" s="172" t="s">
        <v>46</v>
      </c>
      <c r="AQ1" s="169" t="s">
        <v>47</v>
      </c>
      <c r="AR1" s="170" t="s">
        <v>48</v>
      </c>
      <c r="AS1" s="56" t="s">
        <v>49</v>
      </c>
      <c r="AT1" s="56" t="s">
        <v>50</v>
      </c>
      <c r="AU1" s="56" t="s">
        <v>51</v>
      </c>
      <c r="AV1" s="56" t="s">
        <v>52</v>
      </c>
      <c r="AW1" s="56" t="s">
        <v>53</v>
      </c>
      <c r="AX1" s="56" t="s">
        <v>54</v>
      </c>
      <c r="AY1" s="56" t="s">
        <v>1834</v>
      </c>
      <c r="AZ1" s="171" t="s">
        <v>56</v>
      </c>
      <c r="BA1" s="171" t="s">
        <v>57</v>
      </c>
      <c r="BB1" s="126" t="s">
        <v>58</v>
      </c>
      <c r="BC1" s="171"/>
      <c r="BD1" s="126"/>
      <c r="BE1" s="19"/>
      <c r="BF1" s="19"/>
      <c r="BG1" s="19"/>
    </row>
    <row r="2" spans="1:59" s="7" customFormat="1" ht="20.100000000000001" customHeight="1">
      <c r="A2" s="33" t="s">
        <v>1862</v>
      </c>
      <c r="B2" s="6" t="s">
        <v>1703</v>
      </c>
      <c r="C2" s="28"/>
      <c r="D2" s="6" t="s">
        <v>1475</v>
      </c>
      <c r="E2" s="13"/>
      <c r="F2" s="13"/>
      <c r="G2" s="13"/>
      <c r="H2" s="6"/>
      <c r="I2" s="6"/>
      <c r="J2" s="6"/>
      <c r="K2" s="6" t="s">
        <v>230</v>
      </c>
      <c r="L2" s="6" t="s">
        <v>75</v>
      </c>
      <c r="M2" s="6" t="s">
        <v>75</v>
      </c>
      <c r="N2" s="6" t="s">
        <v>76</v>
      </c>
      <c r="O2" s="6" t="s">
        <v>75</v>
      </c>
      <c r="P2" s="6" t="s">
        <v>75</v>
      </c>
      <c r="Q2" s="6" t="s">
        <v>75</v>
      </c>
      <c r="R2" s="36">
        <v>2</v>
      </c>
      <c r="S2" s="36">
        <v>6</v>
      </c>
      <c r="T2" s="6"/>
      <c r="U2" s="6"/>
      <c r="V2" s="6" t="s">
        <v>75</v>
      </c>
      <c r="W2" s="6" t="s">
        <v>75</v>
      </c>
      <c r="X2" s="6" t="s">
        <v>76</v>
      </c>
      <c r="Y2" s="6" t="s">
        <v>76</v>
      </c>
      <c r="Z2" s="6" t="s">
        <v>75</v>
      </c>
      <c r="AA2" s="11" t="s">
        <v>75</v>
      </c>
      <c r="AB2" s="11" t="s">
        <v>76</v>
      </c>
      <c r="AC2" s="11" t="s">
        <v>75</v>
      </c>
      <c r="AD2" s="11" t="s">
        <v>76</v>
      </c>
      <c r="AE2" s="29"/>
      <c r="AF2" s="29"/>
      <c r="AG2" s="34"/>
    </row>
    <row r="3" spans="1:59" s="7" customFormat="1" ht="20.100000000000001" customHeight="1">
      <c r="A3" s="33" t="s">
        <v>1863</v>
      </c>
      <c r="B3" s="6" t="s">
        <v>1581</v>
      </c>
      <c r="C3" s="6"/>
      <c r="D3" s="6" t="s">
        <v>1582</v>
      </c>
      <c r="E3" s="13"/>
      <c r="F3" s="13"/>
      <c r="G3" s="13"/>
      <c r="H3" s="6"/>
      <c r="I3" s="6"/>
      <c r="J3" s="6"/>
      <c r="K3" s="6" t="s">
        <v>230</v>
      </c>
      <c r="L3" s="6" t="s">
        <v>75</v>
      </c>
      <c r="M3" s="6" t="s">
        <v>75</v>
      </c>
      <c r="N3" s="6" t="s">
        <v>76</v>
      </c>
      <c r="O3" s="6" t="s">
        <v>76</v>
      </c>
      <c r="P3" s="6" t="s">
        <v>75</v>
      </c>
      <c r="Q3" s="6" t="s">
        <v>75</v>
      </c>
      <c r="R3" s="36">
        <v>2</v>
      </c>
      <c r="S3" s="36">
        <v>6</v>
      </c>
      <c r="T3" s="6"/>
      <c r="U3" s="6"/>
      <c r="V3" s="6" t="s">
        <v>75</v>
      </c>
      <c r="W3" s="6" t="s">
        <v>75</v>
      </c>
      <c r="X3" s="6" t="s">
        <v>76</v>
      </c>
      <c r="Y3" s="6" t="s">
        <v>76</v>
      </c>
      <c r="Z3" s="6" t="s">
        <v>75</v>
      </c>
      <c r="AA3" s="11" t="s">
        <v>75</v>
      </c>
      <c r="AB3" s="11" t="s">
        <v>76</v>
      </c>
      <c r="AC3" s="11" t="s">
        <v>75</v>
      </c>
      <c r="AD3" s="11" t="s">
        <v>76</v>
      </c>
      <c r="AE3" s="12"/>
      <c r="AF3" s="12"/>
      <c r="AG3" s="34"/>
    </row>
    <row r="4" spans="1:59" s="7" customFormat="1" ht="11.25">
      <c r="A4" s="33" t="s">
        <v>1864</v>
      </c>
      <c r="B4" s="6" t="s">
        <v>1581</v>
      </c>
      <c r="C4" s="6"/>
      <c r="D4" s="6" t="s">
        <v>1582</v>
      </c>
      <c r="E4" s="13"/>
      <c r="F4" s="13"/>
      <c r="G4" s="13"/>
      <c r="H4" s="6"/>
      <c r="I4" s="6"/>
      <c r="J4" s="6"/>
      <c r="K4" s="6" t="s">
        <v>230</v>
      </c>
      <c r="L4" s="6" t="s">
        <v>75</v>
      </c>
      <c r="M4" s="6" t="s">
        <v>75</v>
      </c>
      <c r="N4" s="6" t="s">
        <v>76</v>
      </c>
      <c r="O4" s="6" t="s">
        <v>75</v>
      </c>
      <c r="P4" s="6" t="s">
        <v>75</v>
      </c>
      <c r="Q4" s="6" t="s">
        <v>75</v>
      </c>
      <c r="R4" s="36">
        <v>2</v>
      </c>
      <c r="S4" s="36">
        <v>12</v>
      </c>
      <c r="T4" s="6"/>
      <c r="U4" s="6"/>
      <c r="V4" s="6" t="s">
        <v>76</v>
      </c>
      <c r="W4" s="6" t="s">
        <v>76</v>
      </c>
      <c r="X4" s="6" t="s">
        <v>75</v>
      </c>
      <c r="Y4" s="6" t="s">
        <v>76</v>
      </c>
      <c r="Z4" s="6" t="s">
        <v>76</v>
      </c>
      <c r="AA4" s="11" t="s">
        <v>75</v>
      </c>
      <c r="AB4" s="11" t="s">
        <v>76</v>
      </c>
      <c r="AC4" s="11" t="s">
        <v>76</v>
      </c>
      <c r="AD4" s="11" t="s">
        <v>76</v>
      </c>
      <c r="AE4" s="12"/>
      <c r="AF4" s="12"/>
      <c r="AG4" s="34"/>
    </row>
    <row r="5" spans="1:59" ht="20.100000000000001" customHeight="1"/>
    <row r="6" spans="1:59" s="51" customFormat="1" ht="12.75">
      <c r="A6" s="41" t="s">
        <v>1865</v>
      </c>
      <c r="B6" s="42" t="s">
        <v>1866</v>
      </c>
      <c r="C6" s="42" t="s">
        <v>1867</v>
      </c>
      <c r="D6" s="43" t="s">
        <v>1057</v>
      </c>
      <c r="E6" s="44" t="s">
        <v>1868</v>
      </c>
      <c r="F6" s="44" t="s">
        <v>170</v>
      </c>
      <c r="G6" s="44" t="s">
        <v>103</v>
      </c>
      <c r="H6" s="45" t="s">
        <v>1869</v>
      </c>
      <c r="I6" s="46"/>
      <c r="J6" s="42"/>
      <c r="K6" s="42" t="s">
        <v>69</v>
      </c>
      <c r="L6" s="43">
        <v>1</v>
      </c>
      <c r="M6" s="42">
        <v>12</v>
      </c>
      <c r="N6" s="42" t="s">
        <v>75</v>
      </c>
      <c r="O6" s="42" t="s">
        <v>75</v>
      </c>
      <c r="P6" s="42" t="s">
        <v>76</v>
      </c>
      <c r="Q6" s="42" t="s">
        <v>75</v>
      </c>
      <c r="R6" s="42" t="s">
        <v>75</v>
      </c>
      <c r="S6" s="42" t="s">
        <v>75</v>
      </c>
      <c r="T6" s="42" t="s">
        <v>75</v>
      </c>
      <c r="U6" s="42" t="s">
        <v>75</v>
      </c>
      <c r="V6" s="42" t="s">
        <v>75</v>
      </c>
      <c r="W6" s="42" t="s">
        <v>75</v>
      </c>
      <c r="X6" s="42" t="s">
        <v>75</v>
      </c>
      <c r="Y6" s="47" t="s">
        <v>75</v>
      </c>
      <c r="Z6" s="47" t="s">
        <v>75</v>
      </c>
      <c r="AA6" s="47" t="s">
        <v>75</v>
      </c>
      <c r="AB6" s="48" t="s">
        <v>76</v>
      </c>
      <c r="AC6" s="260" t="s">
        <v>1870</v>
      </c>
      <c r="AD6" s="49" t="s">
        <v>1871</v>
      </c>
      <c r="AE6" s="50" t="s">
        <v>1872</v>
      </c>
    </row>
    <row r="7" spans="1:59" s="65" customFormat="1">
      <c r="A7" s="27" t="s">
        <v>1783</v>
      </c>
      <c r="B7" s="244" t="s">
        <v>1784</v>
      </c>
      <c r="C7" s="16"/>
      <c r="D7" s="1" t="s">
        <v>1785</v>
      </c>
      <c r="E7" s="214"/>
      <c r="F7" s="215"/>
      <c r="G7" s="215"/>
      <c r="H7" s="214"/>
      <c r="I7" s="215"/>
      <c r="J7" s="215"/>
      <c r="K7" s="39" t="s">
        <v>230</v>
      </c>
      <c r="L7" s="6" t="s">
        <v>70</v>
      </c>
      <c r="M7" s="6" t="s">
        <v>70</v>
      </c>
      <c r="N7" s="54"/>
      <c r="O7" s="6" t="s">
        <v>70</v>
      </c>
      <c r="P7" s="63"/>
      <c r="Q7" s="54" t="s">
        <v>72</v>
      </c>
      <c r="R7" s="36">
        <v>2</v>
      </c>
      <c r="S7" s="55">
        <v>10</v>
      </c>
      <c r="T7" s="55"/>
      <c r="U7" s="55"/>
      <c r="V7" s="6" t="s">
        <v>75</v>
      </c>
      <c r="W7" s="6" t="s">
        <v>75</v>
      </c>
      <c r="X7" s="6" t="s">
        <v>75</v>
      </c>
      <c r="Y7" s="6" t="s">
        <v>76</v>
      </c>
      <c r="Z7" s="6" t="s">
        <v>76</v>
      </c>
      <c r="AA7" s="6" t="s">
        <v>75</v>
      </c>
      <c r="AB7" s="6" t="s">
        <v>75</v>
      </c>
      <c r="AC7" s="14" t="s">
        <v>75</v>
      </c>
      <c r="AD7" s="6" t="s">
        <v>75</v>
      </c>
      <c r="AE7" s="6" t="s">
        <v>75</v>
      </c>
      <c r="AF7" s="6" t="s">
        <v>75</v>
      </c>
      <c r="AG7" s="6" t="s">
        <v>75</v>
      </c>
      <c r="AH7" s="6" t="s">
        <v>75</v>
      </c>
      <c r="AI7" s="6" t="s">
        <v>75</v>
      </c>
      <c r="AJ7" s="6" t="s">
        <v>75</v>
      </c>
      <c r="AK7" s="11" t="s">
        <v>76</v>
      </c>
      <c r="AL7" s="11" t="s">
        <v>76</v>
      </c>
      <c r="AM7" s="11" t="s">
        <v>76</v>
      </c>
      <c r="AN7" s="11" t="s">
        <v>76</v>
      </c>
      <c r="AO7" s="18"/>
      <c r="AP7" s="12"/>
      <c r="AQ7" s="34" t="s">
        <v>1873</v>
      </c>
      <c r="AR7" s="7"/>
      <c r="AS7" s="13"/>
      <c r="AT7" s="71"/>
      <c r="AU7" s="71"/>
      <c r="AV7" s="71"/>
      <c r="AW7" s="71"/>
      <c r="AX7" s="71"/>
      <c r="AY7" s="71"/>
      <c r="AZ7" s="128"/>
      <c r="BA7" s="128"/>
      <c r="BB7" s="82"/>
      <c r="BC7" s="7"/>
      <c r="BD7" s="7"/>
      <c r="BE7" s="19"/>
      <c r="BF7" s="19"/>
      <c r="BG7" s="19"/>
    </row>
    <row r="8" spans="1:59" s="19" customFormat="1" ht="11.25">
      <c r="A8" s="262" t="s">
        <v>1874</v>
      </c>
      <c r="B8" s="63" t="s">
        <v>1581</v>
      </c>
      <c r="C8" s="6"/>
      <c r="D8" s="6" t="s">
        <v>1582</v>
      </c>
      <c r="E8" s="1"/>
      <c r="F8" s="209"/>
      <c r="G8" s="210"/>
      <c r="H8" s="210"/>
      <c r="I8" s="209"/>
      <c r="J8" s="210"/>
      <c r="K8" s="11" t="s">
        <v>230</v>
      </c>
      <c r="L8" s="54"/>
      <c r="M8" s="54"/>
      <c r="N8" s="54"/>
      <c r="O8" s="54"/>
      <c r="P8" s="63"/>
      <c r="Q8" s="6" t="s">
        <v>72</v>
      </c>
      <c r="R8" s="36">
        <v>3</v>
      </c>
      <c r="S8" s="55">
        <v>6</v>
      </c>
      <c r="T8" s="52"/>
      <c r="U8" s="55"/>
      <c r="V8" s="6" t="s">
        <v>75</v>
      </c>
      <c r="W8" s="6" t="s">
        <v>75</v>
      </c>
      <c r="X8" s="6" t="s">
        <v>75</v>
      </c>
      <c r="Y8" s="6" t="s">
        <v>76</v>
      </c>
      <c r="Z8" s="6" t="s">
        <v>75</v>
      </c>
      <c r="AA8" s="6" t="s">
        <v>75</v>
      </c>
      <c r="AB8" s="6" t="s">
        <v>75</v>
      </c>
      <c r="AC8" s="14" t="s">
        <v>75</v>
      </c>
      <c r="AD8" s="6" t="s">
        <v>75</v>
      </c>
      <c r="AE8" s="6" t="s">
        <v>75</v>
      </c>
      <c r="AF8" s="6" t="s">
        <v>75</v>
      </c>
      <c r="AG8" s="6" t="s">
        <v>75</v>
      </c>
      <c r="AH8" s="6" t="s">
        <v>75</v>
      </c>
      <c r="AI8" s="6" t="s">
        <v>75</v>
      </c>
      <c r="AJ8" s="6" t="s">
        <v>75</v>
      </c>
      <c r="AK8" s="11" t="s">
        <v>75</v>
      </c>
      <c r="AL8" s="11" t="s">
        <v>75</v>
      </c>
      <c r="AM8" s="11" t="s">
        <v>75</v>
      </c>
      <c r="AN8" s="11" t="s">
        <v>76</v>
      </c>
      <c r="AO8" s="12"/>
      <c r="AP8" s="8" t="s">
        <v>1875</v>
      </c>
      <c r="AQ8" s="34" t="s">
        <v>1876</v>
      </c>
      <c r="AR8" s="7"/>
      <c r="AS8" s="87"/>
      <c r="AT8" s="88"/>
      <c r="AU8" s="88"/>
      <c r="AV8" s="13"/>
      <c r="AW8" s="13"/>
      <c r="AX8" s="13"/>
      <c r="AY8" s="13"/>
      <c r="AZ8" s="128"/>
      <c r="BA8" s="128"/>
      <c r="BB8" s="82"/>
      <c r="BC8" s="206"/>
      <c r="BD8" s="206"/>
    </row>
    <row r="9" spans="1:59" s="19" customFormat="1" ht="11.25">
      <c r="A9" s="262" t="s">
        <v>1622</v>
      </c>
      <c r="B9" s="63" t="s">
        <v>1623</v>
      </c>
      <c r="C9" s="6"/>
      <c r="D9" s="6" t="s">
        <v>1582</v>
      </c>
      <c r="E9" s="1"/>
      <c r="F9" s="212"/>
      <c r="G9" s="213"/>
      <c r="H9" s="213"/>
      <c r="I9" s="212"/>
      <c r="J9" s="213"/>
      <c r="K9" s="11" t="s">
        <v>230</v>
      </c>
      <c r="L9" s="6" t="s">
        <v>1625</v>
      </c>
      <c r="M9" s="6" t="s">
        <v>1625</v>
      </c>
      <c r="N9" s="6" t="s">
        <v>1877</v>
      </c>
      <c r="O9" s="6" t="s">
        <v>1625</v>
      </c>
      <c r="P9" s="63"/>
      <c r="Q9" s="6" t="s">
        <v>72</v>
      </c>
      <c r="R9" s="36">
        <v>2</v>
      </c>
      <c r="S9" s="52">
        <v>12</v>
      </c>
      <c r="T9" s="52" t="s">
        <v>1878</v>
      </c>
      <c r="U9" s="55" t="s">
        <v>1879</v>
      </c>
      <c r="V9" s="14" t="s">
        <v>75</v>
      </c>
      <c r="W9" s="14" t="s">
        <v>75</v>
      </c>
      <c r="X9" s="14" t="s">
        <v>75</v>
      </c>
      <c r="Y9" s="6" t="s">
        <v>76</v>
      </c>
      <c r="Z9" s="14" t="s">
        <v>75</v>
      </c>
      <c r="AA9" s="14" t="s">
        <v>75</v>
      </c>
      <c r="AB9" s="14" t="s">
        <v>75</v>
      </c>
      <c r="AC9" s="14" t="s">
        <v>75</v>
      </c>
      <c r="AD9" s="14" t="s">
        <v>75</v>
      </c>
      <c r="AE9" s="14" t="s">
        <v>75</v>
      </c>
      <c r="AF9" s="14" t="s">
        <v>75</v>
      </c>
      <c r="AG9" s="14" t="s">
        <v>75</v>
      </c>
      <c r="AH9" s="14" t="s">
        <v>75</v>
      </c>
      <c r="AI9" s="14" t="s">
        <v>75</v>
      </c>
      <c r="AJ9" s="14" t="s">
        <v>75</v>
      </c>
      <c r="AK9" s="14" t="s">
        <v>75</v>
      </c>
      <c r="AL9" s="14" t="s">
        <v>75</v>
      </c>
      <c r="AM9" s="14" t="s">
        <v>75</v>
      </c>
      <c r="AN9" s="11" t="s">
        <v>76</v>
      </c>
      <c r="AO9" s="12"/>
      <c r="AP9" s="30" t="s">
        <v>1880</v>
      </c>
      <c r="AQ9" s="63" t="s">
        <v>1881</v>
      </c>
      <c r="AR9" s="241"/>
      <c r="AS9" s="205"/>
      <c r="AT9" s="205"/>
      <c r="AU9" s="205"/>
      <c r="AV9" s="205"/>
      <c r="AW9" s="205"/>
      <c r="AX9" s="205"/>
      <c r="AY9" s="205"/>
      <c r="AZ9" s="242"/>
      <c r="BA9" s="242"/>
      <c r="BB9" s="241"/>
      <c r="BC9" s="1"/>
      <c r="BD9" s="1"/>
    </row>
    <row r="10" spans="1:59" s="7" customFormat="1" ht="11.25">
      <c r="A10" s="27" t="s">
        <v>1882</v>
      </c>
      <c r="B10" s="247" t="s">
        <v>1515</v>
      </c>
      <c r="C10" s="6"/>
      <c r="D10" s="16" t="s">
        <v>1504</v>
      </c>
      <c r="E10" s="238"/>
      <c r="F10" s="214"/>
      <c r="G10" s="222"/>
      <c r="H10" s="222"/>
      <c r="I10" s="214"/>
      <c r="J10" s="222"/>
      <c r="K10" s="16" t="s">
        <v>230</v>
      </c>
      <c r="L10" s="54"/>
      <c r="M10" s="54"/>
      <c r="N10" s="223"/>
      <c r="O10" s="223"/>
      <c r="P10" s="63"/>
      <c r="Q10" s="54" t="s">
        <v>72</v>
      </c>
      <c r="R10" s="36">
        <v>2</v>
      </c>
      <c r="S10" s="36">
        <v>12</v>
      </c>
      <c r="T10" s="36"/>
      <c r="U10" s="36"/>
      <c r="V10" s="6" t="s">
        <v>75</v>
      </c>
      <c r="W10" s="6" t="s">
        <v>76</v>
      </c>
      <c r="X10" s="6" t="s">
        <v>75</v>
      </c>
      <c r="Y10" s="6" t="s">
        <v>76</v>
      </c>
      <c r="Z10" s="6" t="s">
        <v>75</v>
      </c>
      <c r="AA10" s="6" t="s">
        <v>75</v>
      </c>
      <c r="AB10" s="6" t="s">
        <v>75</v>
      </c>
      <c r="AC10" s="6" t="s">
        <v>75</v>
      </c>
      <c r="AD10" s="224" t="s">
        <v>75</v>
      </c>
      <c r="AE10" s="224" t="s">
        <v>75</v>
      </c>
      <c r="AF10" s="224" t="s">
        <v>75</v>
      </c>
      <c r="AG10" s="224" t="s">
        <v>75</v>
      </c>
      <c r="AH10" s="224" t="s">
        <v>75</v>
      </c>
      <c r="AI10" s="224" t="s">
        <v>75</v>
      </c>
      <c r="AJ10" s="224" t="s">
        <v>75</v>
      </c>
      <c r="AK10" s="11" t="s">
        <v>75</v>
      </c>
      <c r="AL10" s="11" t="s">
        <v>75</v>
      </c>
      <c r="AM10" s="11" t="s">
        <v>75</v>
      </c>
      <c r="AN10" s="11" t="s">
        <v>76</v>
      </c>
      <c r="AO10" s="18"/>
      <c r="AP10" s="12"/>
      <c r="AQ10" s="261" t="s">
        <v>1883</v>
      </c>
      <c r="AR10" s="83"/>
      <c r="AS10" s="54"/>
      <c r="AT10" s="72"/>
      <c r="AU10" s="72"/>
      <c r="AV10" s="72"/>
      <c r="AW10" s="72"/>
      <c r="AX10" s="72"/>
      <c r="AY10" s="72"/>
      <c r="AZ10" s="128"/>
      <c r="BA10" s="128"/>
      <c r="BB10" s="82"/>
      <c r="BC10" s="19"/>
      <c r="BD10" s="19"/>
      <c r="BG10" s="19" t="e">
        <f>VLOOKUP(B10,#REF!,1,FALSE)</f>
        <v>#REF!</v>
      </c>
    </row>
    <row r="11" spans="1:59" s="79" customFormat="1">
      <c r="A11" s="186" t="s">
        <v>1795</v>
      </c>
      <c r="B11" s="247" t="s">
        <v>1796</v>
      </c>
      <c r="C11" s="75"/>
      <c r="D11" s="75" t="s">
        <v>1483</v>
      </c>
      <c r="E11" s="174"/>
      <c r="F11" s="188"/>
      <c r="G11" s="74"/>
      <c r="H11" s="74"/>
      <c r="I11" s="76"/>
      <c r="J11" s="74"/>
      <c r="K11" s="75" t="s">
        <v>230</v>
      </c>
      <c r="L11" s="174"/>
      <c r="M11" s="174"/>
      <c r="N11" s="174"/>
      <c r="O11" s="191"/>
      <c r="P11" s="155"/>
      <c r="Q11" s="54" t="s">
        <v>72</v>
      </c>
      <c r="R11" s="77">
        <v>2</v>
      </c>
      <c r="S11" s="77">
        <v>12</v>
      </c>
      <c r="T11" s="77"/>
      <c r="U11" s="77"/>
      <c r="V11" s="75" t="s">
        <v>76</v>
      </c>
      <c r="W11" s="75" t="s">
        <v>76</v>
      </c>
      <c r="X11" s="75" t="s">
        <v>76</v>
      </c>
      <c r="Y11" s="75"/>
      <c r="Z11" s="75" t="s">
        <v>75</v>
      </c>
      <c r="AA11" s="38" t="s">
        <v>76</v>
      </c>
      <c r="AB11" s="14" t="s">
        <v>76</v>
      </c>
      <c r="AC11" s="14" t="s">
        <v>76</v>
      </c>
      <c r="AD11" s="14" t="s">
        <v>76</v>
      </c>
      <c r="AE11" s="14" t="s">
        <v>76</v>
      </c>
      <c r="AF11" s="14" t="s">
        <v>76</v>
      </c>
      <c r="AG11" s="14" t="s">
        <v>76</v>
      </c>
      <c r="AH11" s="14" t="s">
        <v>76</v>
      </c>
      <c r="AI11" s="14" t="s">
        <v>76</v>
      </c>
      <c r="AJ11" s="14" t="s">
        <v>76</v>
      </c>
      <c r="AK11" s="25" t="s">
        <v>75</v>
      </c>
      <c r="AL11" s="25" t="s">
        <v>75</v>
      </c>
      <c r="AM11" s="25" t="s">
        <v>75</v>
      </c>
      <c r="AN11" s="75" t="s">
        <v>76</v>
      </c>
      <c r="AO11" s="27" t="s">
        <v>173</v>
      </c>
      <c r="AP11" s="27"/>
      <c r="AQ11" s="197"/>
      <c r="AR11" s="84"/>
      <c r="AZ11" s="237"/>
      <c r="BA11" s="129"/>
      <c r="BB11" s="135"/>
    </row>
    <row r="12" spans="1:59" s="61" customFormat="1" ht="12.75">
      <c r="A12" s="187" t="s">
        <v>1884</v>
      </c>
      <c r="B12" s="248" t="s">
        <v>1432</v>
      </c>
      <c r="C12" s="6"/>
      <c r="D12" s="75" t="s">
        <v>1406</v>
      </c>
      <c r="E12" s="1"/>
      <c r="F12" s="189"/>
      <c r="G12" s="6"/>
      <c r="H12" s="6"/>
      <c r="I12" s="13"/>
      <c r="J12" s="6"/>
      <c r="K12" s="75" t="s">
        <v>230</v>
      </c>
      <c r="L12" s="1"/>
      <c r="M12" s="1"/>
      <c r="N12" s="1"/>
      <c r="O12" s="1"/>
      <c r="P12" s="156"/>
      <c r="Q12" s="54" t="s">
        <v>72</v>
      </c>
      <c r="R12" s="36">
        <v>2</v>
      </c>
      <c r="S12" s="36">
        <v>12</v>
      </c>
      <c r="T12" s="225" t="s">
        <v>1885</v>
      </c>
      <c r="U12" s="36" t="s">
        <v>1886</v>
      </c>
      <c r="V12" s="6" t="s">
        <v>75</v>
      </c>
      <c r="W12" s="6" t="s">
        <v>75</v>
      </c>
      <c r="X12" s="6" t="s">
        <v>76</v>
      </c>
      <c r="Y12" s="6"/>
      <c r="Z12" s="6" t="s">
        <v>76</v>
      </c>
      <c r="AA12" s="178" t="s">
        <v>75</v>
      </c>
      <c r="AB12" s="6" t="s">
        <v>75</v>
      </c>
      <c r="AC12" s="6" t="s">
        <v>75</v>
      </c>
      <c r="AD12" s="6" t="s">
        <v>75</v>
      </c>
      <c r="AE12" s="6" t="s">
        <v>75</v>
      </c>
      <c r="AF12" s="6" t="s">
        <v>75</v>
      </c>
      <c r="AG12" s="6" t="s">
        <v>75</v>
      </c>
      <c r="AH12" s="6" t="s">
        <v>75</v>
      </c>
      <c r="AI12" s="6" t="s">
        <v>75</v>
      </c>
      <c r="AJ12" s="6" t="s">
        <v>75</v>
      </c>
      <c r="AK12" s="11" t="s">
        <v>76</v>
      </c>
      <c r="AL12" s="11" t="s">
        <v>76</v>
      </c>
      <c r="AM12" s="11" t="s">
        <v>76</v>
      </c>
      <c r="AN12" s="6" t="s">
        <v>76</v>
      </c>
      <c r="AO12" s="185" t="s">
        <v>1422</v>
      </c>
      <c r="AP12" s="40" t="s">
        <v>1887</v>
      </c>
      <c r="AQ12" s="198"/>
      <c r="AR12" s="85"/>
      <c r="AS12" s="7"/>
      <c r="AZ12" s="127"/>
      <c r="BA12" s="130"/>
      <c r="BB12" s="136"/>
    </row>
    <row r="13" spans="1:59" s="65" customFormat="1">
      <c r="A13" s="187" t="s">
        <v>1797</v>
      </c>
      <c r="B13" s="248" t="s">
        <v>1798</v>
      </c>
      <c r="C13" s="6"/>
      <c r="D13" s="6" t="s">
        <v>1799</v>
      </c>
      <c r="E13" s="66"/>
      <c r="G13" s="66"/>
      <c r="H13" s="66"/>
      <c r="J13" s="66"/>
      <c r="K13" s="75" t="s">
        <v>230</v>
      </c>
      <c r="L13" s="66"/>
      <c r="M13" s="1"/>
      <c r="N13" s="66"/>
      <c r="O13" s="192"/>
      <c r="P13" s="195"/>
      <c r="Q13" s="196"/>
      <c r="R13" s="192"/>
      <c r="S13" s="192"/>
      <c r="T13" s="192"/>
      <c r="U13" s="192"/>
      <c r="V13" s="192"/>
      <c r="W13" s="192"/>
      <c r="X13" s="192"/>
      <c r="Y13" s="192"/>
      <c r="Z13" s="192"/>
      <c r="AA13" s="66"/>
      <c r="AB13" s="66"/>
      <c r="AC13" s="66"/>
      <c r="AD13" s="66"/>
      <c r="AE13" s="66"/>
      <c r="AF13" s="66"/>
      <c r="AG13" s="66"/>
      <c r="AH13" s="66"/>
      <c r="AI13" s="66"/>
      <c r="AJ13" s="66"/>
      <c r="AK13" s="66"/>
      <c r="AL13" s="66"/>
      <c r="AM13" s="66"/>
      <c r="AN13" s="192"/>
      <c r="AO13" s="199"/>
      <c r="AP13" s="200"/>
      <c r="AQ13" s="199"/>
      <c r="AZ13" s="237"/>
      <c r="BA13" s="129"/>
      <c r="BB13" s="134"/>
      <c r="BG13" s="19" t="e">
        <f>VLOOKUP(B13,#REF!,1,FALSE)</f>
        <v>#REF!</v>
      </c>
    </row>
    <row r="14" spans="1:59" s="65" customFormat="1">
      <c r="A14" s="17" t="s">
        <v>1800</v>
      </c>
      <c r="B14" s="248" t="s">
        <v>1801</v>
      </c>
      <c r="C14" s="6"/>
      <c r="D14" s="75" t="s">
        <v>1504</v>
      </c>
      <c r="E14" s="66"/>
      <c r="F14" s="190"/>
      <c r="G14" s="14"/>
      <c r="H14" s="14"/>
      <c r="I14" s="15"/>
      <c r="J14" s="14"/>
      <c r="K14" s="194" t="s">
        <v>230</v>
      </c>
      <c r="L14" s="66"/>
      <c r="M14" s="66"/>
      <c r="N14" s="66"/>
      <c r="O14" s="192"/>
      <c r="P14" s="193"/>
      <c r="Q14" s="196"/>
      <c r="R14" s="192"/>
      <c r="S14" s="192"/>
      <c r="T14" s="192"/>
      <c r="U14" s="192"/>
      <c r="V14" s="192"/>
      <c r="W14" s="192"/>
      <c r="X14" s="192"/>
      <c r="Y14" s="192"/>
      <c r="Z14" s="192"/>
      <c r="AA14" s="66"/>
      <c r="AB14" s="66"/>
      <c r="AC14" s="66"/>
      <c r="AD14" s="66"/>
      <c r="AE14" s="66"/>
      <c r="AF14" s="66"/>
      <c r="AG14" s="66"/>
      <c r="AH14" s="66"/>
      <c r="AI14" s="66"/>
      <c r="AJ14" s="66"/>
      <c r="AK14" s="66"/>
      <c r="AL14" s="66"/>
      <c r="AM14" s="66"/>
      <c r="AN14" s="192"/>
      <c r="AO14" s="199"/>
      <c r="AP14" s="200"/>
      <c r="AQ14" s="199"/>
      <c r="AZ14" s="237"/>
      <c r="BA14" s="129"/>
      <c r="BB14" s="134"/>
    </row>
    <row r="15" spans="1:59" s="1" customFormat="1" ht="11.25">
      <c r="A15" s="27" t="s">
        <v>1802</v>
      </c>
      <c r="B15" s="248" t="s">
        <v>1803</v>
      </c>
      <c r="C15" s="27"/>
      <c r="D15" s="75" t="s">
        <v>1639</v>
      </c>
      <c r="F15" s="230"/>
      <c r="G15" s="231"/>
      <c r="H15" s="231"/>
      <c r="I15" s="230"/>
      <c r="J15" s="231"/>
      <c r="K15" s="75" t="s">
        <v>1640</v>
      </c>
      <c r="L15" s="75"/>
      <c r="M15" s="75"/>
      <c r="N15" s="75"/>
      <c r="O15" s="75"/>
      <c r="P15" s="232"/>
      <c r="Q15" s="75" t="s">
        <v>72</v>
      </c>
      <c r="R15" s="77">
        <v>1</v>
      </c>
      <c r="S15" s="233">
        <v>12</v>
      </c>
      <c r="T15" s="233"/>
      <c r="U15" s="233"/>
      <c r="V15" s="75" t="s">
        <v>76</v>
      </c>
      <c r="W15" s="75" t="s">
        <v>76</v>
      </c>
      <c r="X15" s="75" t="s">
        <v>76</v>
      </c>
      <c r="Y15" s="75" t="s">
        <v>76</v>
      </c>
      <c r="Z15" s="75" t="s">
        <v>76</v>
      </c>
      <c r="AA15" s="75" t="s">
        <v>76</v>
      </c>
      <c r="AB15" s="75" t="s">
        <v>76</v>
      </c>
      <c r="AC15" s="75" t="s">
        <v>76</v>
      </c>
      <c r="AD15" s="75" t="s">
        <v>76</v>
      </c>
      <c r="AE15" s="75" t="s">
        <v>76</v>
      </c>
      <c r="AF15" s="75" t="s">
        <v>76</v>
      </c>
      <c r="AG15" s="75" t="s">
        <v>76</v>
      </c>
      <c r="AH15" s="75" t="s">
        <v>76</v>
      </c>
      <c r="AI15" s="75" t="s">
        <v>76</v>
      </c>
      <c r="AJ15" s="75" t="s">
        <v>76</v>
      </c>
      <c r="AK15" s="75" t="s">
        <v>75</v>
      </c>
      <c r="AL15" s="75" t="s">
        <v>75</v>
      </c>
      <c r="AM15" s="75" t="s">
        <v>75</v>
      </c>
      <c r="AN15" s="75" t="s">
        <v>76</v>
      </c>
      <c r="AO15" s="234"/>
      <c r="AP15" s="78"/>
      <c r="AQ15" s="235" t="s">
        <v>1804</v>
      </c>
      <c r="AR15" s="236"/>
      <c r="AS15" s="235"/>
      <c r="AT15" s="235"/>
      <c r="AU15" s="235"/>
      <c r="AV15" s="71"/>
      <c r="AW15" s="71"/>
      <c r="AX15" s="71"/>
      <c r="AY15" s="71"/>
      <c r="AZ15" s="127"/>
      <c r="BA15" s="147"/>
      <c r="BB15" s="148"/>
      <c r="BC15" s="149"/>
      <c r="BD15" s="149"/>
    </row>
    <row r="16" spans="1:59">
      <c r="A16" s="27" t="s">
        <v>1689</v>
      </c>
      <c r="B16" s="248" t="s">
        <v>1690</v>
      </c>
      <c r="C16" s="13"/>
      <c r="D16" s="6" t="s">
        <v>1688</v>
      </c>
      <c r="E16" s="6"/>
      <c r="F16" s="6"/>
      <c r="G16" s="238"/>
      <c r="H16" s="40"/>
      <c r="I16" s="39"/>
      <c r="J16" s="39"/>
      <c r="K16" s="11" t="s">
        <v>230</v>
      </c>
      <c r="L16" s="54"/>
      <c r="M16" s="54"/>
      <c r="N16" s="54"/>
      <c r="O16" s="54"/>
      <c r="P16" s="63"/>
      <c r="Q16" s="54" t="s">
        <v>72</v>
      </c>
      <c r="R16" s="36">
        <v>2</v>
      </c>
      <c r="S16" s="55">
        <v>10</v>
      </c>
      <c r="T16" s="55"/>
      <c r="U16" s="55"/>
      <c r="V16" s="6" t="s">
        <v>75</v>
      </c>
      <c r="W16" s="6" t="s">
        <v>75</v>
      </c>
      <c r="X16" s="6" t="s">
        <v>75</v>
      </c>
      <c r="Y16" s="6" t="s">
        <v>76</v>
      </c>
      <c r="Z16" s="6" t="s">
        <v>75</v>
      </c>
      <c r="AA16" s="6" t="s">
        <v>75</v>
      </c>
      <c r="AB16" s="6" t="s">
        <v>75</v>
      </c>
      <c r="AC16" s="6" t="s">
        <v>75</v>
      </c>
      <c r="AD16" s="6" t="s">
        <v>75</v>
      </c>
      <c r="AE16" s="6" t="s">
        <v>75</v>
      </c>
      <c r="AF16" s="6" t="s">
        <v>75</v>
      </c>
      <c r="AG16" s="6" t="s">
        <v>75</v>
      </c>
      <c r="AH16" s="6" t="s">
        <v>75</v>
      </c>
      <c r="AI16" s="6" t="s">
        <v>75</v>
      </c>
      <c r="AJ16" s="6" t="s">
        <v>75</v>
      </c>
      <c r="AK16" s="6" t="s">
        <v>75</v>
      </c>
      <c r="AL16" s="6" t="s">
        <v>75</v>
      </c>
      <c r="AM16" s="6" t="s">
        <v>75</v>
      </c>
      <c r="AN16" s="6" t="s">
        <v>76</v>
      </c>
      <c r="AO16" s="12"/>
      <c r="AP16" s="8"/>
      <c r="AQ16" s="197" t="s">
        <v>1888</v>
      </c>
      <c r="AR16" s="80"/>
      <c r="AS16" s="13"/>
      <c r="AT16" s="146"/>
      <c r="AU16" s="146"/>
      <c r="AV16" s="146"/>
      <c r="AW16" s="146"/>
      <c r="AX16" s="146"/>
      <c r="AY16" s="146"/>
      <c r="AZ16" s="128"/>
      <c r="BA16" s="128"/>
      <c r="BB16" s="82"/>
      <c r="BC16" s="19"/>
      <c r="BD16" s="19"/>
      <c r="BE16" s="143"/>
      <c r="BF16" s="143"/>
      <c r="BG16" s="19" t="e">
        <f t="shared" ref="BG16:BG18" si="0">VLOOKUP(B16,#REF!,1,FALSE)</f>
        <v>#REF!</v>
      </c>
    </row>
    <row r="17" spans="1:59" ht="15.75" customHeight="1">
      <c r="A17" s="27" t="s">
        <v>1889</v>
      </c>
      <c r="B17" s="280" t="s">
        <v>1398</v>
      </c>
      <c r="C17" s="43" t="s">
        <v>1890</v>
      </c>
      <c r="D17" s="6" t="s">
        <v>1387</v>
      </c>
      <c r="E17" s="44" t="s">
        <v>1891</v>
      </c>
      <c r="F17" s="48" t="s">
        <v>258</v>
      </c>
      <c r="G17" s="48" t="s">
        <v>229</v>
      </c>
      <c r="H17" s="44" t="s">
        <v>753</v>
      </c>
      <c r="I17" s="48" t="s">
        <v>258</v>
      </c>
      <c r="J17" s="48"/>
      <c r="K17" s="48" t="s">
        <v>230</v>
      </c>
      <c r="L17" s="43"/>
      <c r="M17" s="43" t="s">
        <v>70</v>
      </c>
      <c r="N17" s="43"/>
      <c r="O17" s="43"/>
      <c r="P17" s="282" t="s">
        <v>194</v>
      </c>
      <c r="Q17" s="43" t="s">
        <v>1390</v>
      </c>
      <c r="R17" s="43">
        <v>2</v>
      </c>
      <c r="S17" s="283">
        <v>12</v>
      </c>
      <c r="T17" s="283"/>
      <c r="U17" s="283"/>
      <c r="V17" s="43" t="s">
        <v>75</v>
      </c>
      <c r="W17" s="43" t="s">
        <v>75</v>
      </c>
      <c r="X17" s="43" t="s">
        <v>76</v>
      </c>
      <c r="Y17" s="43" t="s">
        <v>76</v>
      </c>
      <c r="Z17" s="43" t="s">
        <v>75</v>
      </c>
      <c r="AA17" s="43" t="s">
        <v>75</v>
      </c>
      <c r="AB17" s="43" t="s">
        <v>75</v>
      </c>
      <c r="AC17" s="43" t="s">
        <v>75</v>
      </c>
      <c r="AD17" s="43" t="s">
        <v>75</v>
      </c>
      <c r="AE17" s="43" t="s">
        <v>75</v>
      </c>
      <c r="AF17" s="43" t="s">
        <v>75</v>
      </c>
      <c r="AG17" s="43" t="s">
        <v>75</v>
      </c>
      <c r="AH17" s="43" t="s">
        <v>75</v>
      </c>
      <c r="AI17" s="43" t="s">
        <v>75</v>
      </c>
      <c r="AJ17" s="43" t="s">
        <v>75</v>
      </c>
      <c r="AK17" s="48" t="s">
        <v>75</v>
      </c>
      <c r="AL17" s="48" t="s">
        <v>76</v>
      </c>
      <c r="AM17" s="48" t="s">
        <v>76</v>
      </c>
      <c r="AN17" s="48" t="s">
        <v>76</v>
      </c>
      <c r="AO17" s="269" t="s">
        <v>1892</v>
      </c>
      <c r="AP17" s="270" t="s">
        <v>1893</v>
      </c>
      <c r="AQ17" s="50" t="s">
        <v>1894</v>
      </c>
      <c r="AR17" s="51"/>
      <c r="AS17" s="44"/>
      <c r="AT17" s="44"/>
      <c r="AU17" s="44"/>
      <c r="AV17" s="44"/>
      <c r="AW17" s="44"/>
      <c r="AX17" s="44"/>
      <c r="AY17" s="44"/>
      <c r="AZ17" s="217" t="e">
        <f>VLOOKUP(#REF!,'TEAMS_30-09-2021'!$D:$AG,30,FALSE)</f>
        <v>#REF!</v>
      </c>
      <c r="BA17" s="217" t="e">
        <f>VLOOKUP(#REF!,'ENCUESTAS JUN-2021'!F:F,1,FALSE)</f>
        <v>#REF!</v>
      </c>
      <c r="BB17" s="218" t="e">
        <f>VLOOKUP(#REF!,'TEAMS_30-09-2021'!A:A,1,FALSE)</f>
        <v>#REF!</v>
      </c>
      <c r="BC17" s="2"/>
      <c r="BD17" s="2"/>
      <c r="BE17" s="19"/>
      <c r="BF17" s="19"/>
      <c r="BG17" s="19" t="e">
        <f t="shared" si="0"/>
        <v>#REF!</v>
      </c>
    </row>
    <row r="18" spans="1:59" ht="22.5">
      <c r="A18" s="262" t="s">
        <v>1895</v>
      </c>
      <c r="B18" s="248" t="s">
        <v>741</v>
      </c>
      <c r="C18" s="75" t="s">
        <v>1896</v>
      </c>
      <c r="D18" s="75" t="s">
        <v>462</v>
      </c>
      <c r="E18" s="284" t="s">
        <v>257</v>
      </c>
      <c r="F18" s="285" t="s">
        <v>258</v>
      </c>
      <c r="G18" s="285" t="s">
        <v>103</v>
      </c>
      <c r="H18" s="284"/>
      <c r="I18" s="285" t="s">
        <v>65</v>
      </c>
      <c r="J18" s="285"/>
      <c r="K18" s="78" t="s">
        <v>69</v>
      </c>
      <c r="L18" s="75"/>
      <c r="M18" s="75" t="s">
        <v>70</v>
      </c>
      <c r="N18" s="75"/>
      <c r="O18" s="75"/>
      <c r="P18" s="286" t="s">
        <v>194</v>
      </c>
      <c r="Q18" s="75" t="s">
        <v>72</v>
      </c>
      <c r="R18" s="77">
        <v>3</v>
      </c>
      <c r="S18" s="233">
        <v>12</v>
      </c>
      <c r="T18" s="233" t="s">
        <v>1897</v>
      </c>
      <c r="U18" s="233" t="s">
        <v>1898</v>
      </c>
      <c r="V18" s="75" t="s">
        <v>76</v>
      </c>
      <c r="W18" s="75" t="s">
        <v>76</v>
      </c>
      <c r="X18" s="75" t="s">
        <v>76</v>
      </c>
      <c r="Y18" s="75" t="s">
        <v>76</v>
      </c>
      <c r="Z18" s="75" t="s">
        <v>75</v>
      </c>
      <c r="AA18" s="75" t="s">
        <v>76</v>
      </c>
      <c r="AB18" s="75" t="s">
        <v>76</v>
      </c>
      <c r="AC18" s="75" t="s">
        <v>76</v>
      </c>
      <c r="AD18" s="287" t="s">
        <v>76</v>
      </c>
      <c r="AE18" s="287" t="s">
        <v>76</v>
      </c>
      <c r="AF18" s="287" t="s">
        <v>76</v>
      </c>
      <c r="AG18" s="287" t="s">
        <v>76</v>
      </c>
      <c r="AH18" s="287" t="s">
        <v>76</v>
      </c>
      <c r="AI18" s="75" t="s">
        <v>76</v>
      </c>
      <c r="AJ18" s="75" t="s">
        <v>76</v>
      </c>
      <c r="AK18" s="78" t="s">
        <v>75</v>
      </c>
      <c r="AL18" s="78" t="s">
        <v>75</v>
      </c>
      <c r="AM18" s="78" t="s">
        <v>75</v>
      </c>
      <c r="AN18" s="78" t="s">
        <v>76</v>
      </c>
      <c r="AO18" s="20" t="s">
        <v>520</v>
      </c>
      <c r="AP18" s="17" t="s">
        <v>1899</v>
      </c>
      <c r="AQ18" s="95" t="s">
        <v>1900</v>
      </c>
      <c r="AR18" s="19"/>
      <c r="AS18" s="13"/>
      <c r="AT18" s="92" t="s">
        <v>738</v>
      </c>
      <c r="AU18" s="92"/>
      <c r="AV18" s="92"/>
      <c r="AW18" s="92"/>
      <c r="AX18" s="92"/>
      <c r="AY18" s="92"/>
      <c r="AZ18" s="127" t="e">
        <f>VLOOKUP(#REF!,'TEAMS_30-09-2021'!$D:$AG,30,FALSE)</f>
        <v>#REF!</v>
      </c>
      <c r="BA18" s="127" t="e">
        <f>VLOOKUP(#REF!,'ENCUESTAS JUN-2021'!F:F,1,FALSE)</f>
        <v>#REF!</v>
      </c>
      <c r="BB18" s="83" t="e">
        <f>VLOOKUP(#REF!,'TEAMS_30-09-2021'!A:A,1,FALSE)</f>
        <v>#REF!</v>
      </c>
      <c r="BC18" s="19"/>
      <c r="BD18" s="19"/>
      <c r="BE18" s="19"/>
      <c r="BF18" s="19"/>
      <c r="BG18" s="19" t="e">
        <f t="shared" si="0"/>
        <v>#REF!</v>
      </c>
    </row>
  </sheetData>
  <hyperlinks>
    <hyperlink ref="H6" r:id="rId1" xr:uid="{00000000-0004-0000-0200-000000000000}"/>
    <hyperlink ref="T18" r:id="rId2" display="mailto:angelica.nivia@polytechnique.edu"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AT36"/>
  <sheetViews>
    <sheetView workbookViewId="0">
      <pane xSplit="8" ySplit="1" topLeftCell="I22" activePane="bottomRight" state="frozen"/>
      <selection pane="bottomRight" activeCell="I10" sqref="I10"/>
      <selection pane="bottomLeft" activeCell="A2" sqref="A2"/>
      <selection pane="topRight" activeCell="I1" sqref="I1"/>
    </sheetView>
  </sheetViews>
  <sheetFormatPr defaultColWidth="8.7109375" defaultRowHeight="15" outlineLevelCol="1"/>
  <cols>
    <col min="1" max="1" width="4.5703125" customWidth="1"/>
    <col min="2" max="3" width="15.140625" hidden="1" customWidth="1" outlineLevel="1"/>
    <col min="4" max="4" width="11.7109375" hidden="1" customWidth="1" outlineLevel="1"/>
    <col min="5" max="6" width="20" hidden="1" customWidth="1" outlineLevel="1"/>
    <col min="7" max="7" width="14.140625" style="2" customWidth="1" collapsed="1"/>
    <col min="8" max="8" width="58.42578125" style="2" customWidth="1"/>
    <col min="9" max="9" width="50.5703125" style="129" customWidth="1"/>
    <col min="10" max="10" width="18.140625" style="137" customWidth="1"/>
    <col min="11" max="32" width="20" hidden="1" customWidth="1" outlineLevel="1"/>
    <col min="33" max="33" width="20" bestFit="1" customWidth="1" collapsed="1"/>
    <col min="34" max="38" width="20" bestFit="1" customWidth="1"/>
    <col min="39" max="39" width="20" style="2" bestFit="1" customWidth="1"/>
    <col min="40" max="46" width="20" bestFit="1" customWidth="1"/>
  </cols>
  <sheetData>
    <row r="1" spans="1:46" s="96" customFormat="1" ht="42" customHeight="1">
      <c r="A1" s="96" t="s">
        <v>1901</v>
      </c>
      <c r="B1" s="96" t="s">
        <v>1902</v>
      </c>
      <c r="C1" s="96" t="s">
        <v>1903</v>
      </c>
      <c r="D1" s="96" t="s">
        <v>1904</v>
      </c>
      <c r="E1" s="96" t="s">
        <v>1905</v>
      </c>
      <c r="F1" s="96" t="s">
        <v>1906</v>
      </c>
      <c r="G1" s="97" t="s">
        <v>1907</v>
      </c>
      <c r="H1" s="97" t="s">
        <v>1</v>
      </c>
      <c r="I1" s="138" t="s">
        <v>1908</v>
      </c>
      <c r="J1" s="138" t="s">
        <v>1909</v>
      </c>
      <c r="K1" s="96" t="s">
        <v>1910</v>
      </c>
      <c r="L1" s="96" t="s">
        <v>1911</v>
      </c>
      <c r="M1" s="96" t="s">
        <v>1912</v>
      </c>
      <c r="N1" s="96" t="s">
        <v>1913</v>
      </c>
      <c r="O1" s="96" t="s">
        <v>1914</v>
      </c>
      <c r="P1" s="96" t="s">
        <v>1915</v>
      </c>
      <c r="Q1" s="96" t="s">
        <v>1916</v>
      </c>
      <c r="R1" s="96" t="s">
        <v>1917</v>
      </c>
      <c r="S1" s="96" t="s">
        <v>1918</v>
      </c>
      <c r="T1" s="96" t="s">
        <v>1919</v>
      </c>
      <c r="U1" s="96" t="s">
        <v>1920</v>
      </c>
      <c r="V1" s="96" t="s">
        <v>1921</v>
      </c>
      <c r="W1" s="96" t="s">
        <v>1922</v>
      </c>
      <c r="X1" s="96" t="s">
        <v>1923</v>
      </c>
      <c r="Y1" s="96" t="s">
        <v>1924</v>
      </c>
      <c r="Z1" s="96" t="s">
        <v>1925</v>
      </c>
      <c r="AA1" s="96" t="s">
        <v>1926</v>
      </c>
      <c r="AB1" s="96" t="s">
        <v>1927</v>
      </c>
      <c r="AC1" s="96" t="s">
        <v>1928</v>
      </c>
      <c r="AD1" s="96" t="s">
        <v>1929</v>
      </c>
      <c r="AE1" s="96" t="s">
        <v>1930</v>
      </c>
      <c r="AF1" s="96" t="s">
        <v>1931</v>
      </c>
      <c r="AG1" s="96" t="s">
        <v>1932</v>
      </c>
      <c r="AH1" s="96" t="s">
        <v>1933</v>
      </c>
      <c r="AI1" s="96" t="s">
        <v>1934</v>
      </c>
      <c r="AJ1" s="96" t="s">
        <v>1935</v>
      </c>
      <c r="AK1" s="96" t="s">
        <v>1936</v>
      </c>
      <c r="AL1" s="96" t="s">
        <v>1937</v>
      </c>
      <c r="AM1" s="97" t="s">
        <v>1938</v>
      </c>
      <c r="AN1" s="96" t="s">
        <v>1939</v>
      </c>
      <c r="AO1" s="96" t="s">
        <v>1940</v>
      </c>
      <c r="AP1" s="96" t="s">
        <v>1941</v>
      </c>
      <c r="AQ1" s="96" t="s">
        <v>1942</v>
      </c>
      <c r="AR1" s="96" t="s">
        <v>1943</v>
      </c>
      <c r="AS1" s="96" t="s">
        <v>1944</v>
      </c>
      <c r="AT1" s="96" t="s">
        <v>1945</v>
      </c>
    </row>
    <row r="2" spans="1:46">
      <c r="A2">
        <v>11</v>
      </c>
      <c r="B2" s="98">
        <v>44363.6008449074</v>
      </c>
      <c r="C2" s="98">
        <v>44363.602291666699</v>
      </c>
      <c r="D2" t="s">
        <v>1946</v>
      </c>
      <c r="F2" t="s">
        <v>1947</v>
      </c>
      <c r="G2" s="2" t="s">
        <v>1948</v>
      </c>
      <c r="H2" s="2" t="str">
        <f>CONCATENATE('ENCUESTAS JUN-2021'!$K2,'ENCUESTAS JUN-2021'!$L2,'ENCUESTAS JUN-2021'!$M2,'ENCUESTAS JUN-2021'!$N2,'ENCUESTAS JUN-2021'!$O2,'ENCUESTAS JUN-2021'!$P2,'ENCUESTAS JUN-2021'!$Q2,'ENCUESTAS JUN-2021'!$R2,'ENCUESTAS JUN-2021'!$S2,'ENCUESTAS JUN-2021'!$T2,'ENCUESTAS JUN-2021'!$U2,'ENCUESTAS JUN-2021'!$V2,'ENCUESTAS JUN-2021'!$W2,'ENCUESTAS JUN-2021'!$X2,'ENCUESTAS JUN-2021'!$Y2,'ENCUESTAS JUN-2021'!$Z2,'ENCUESTAS JUN-2021'!$AA2,'ENCUESTAS JUN-2021'!$AB2,'ENCUESTAS JUN-2021'!$AC2,'ENCUESTAS JUN-2021'!$AD2,'ENCUESTAS JUN-2021'!$AE2,'ENCUESTAS JUN-2021'!$AF2)</f>
        <v>University of Oulu (SF OULU 01)</v>
      </c>
      <c r="I2" s="129" t="s">
        <v>1318</v>
      </c>
      <c r="J2" s="137" t="s">
        <v>1949</v>
      </c>
      <c r="P2" t="s">
        <v>1950</v>
      </c>
      <c r="AG2" t="s">
        <v>1951</v>
      </c>
      <c r="AH2" t="s">
        <v>1952</v>
      </c>
      <c r="AI2" t="s">
        <v>1952</v>
      </c>
      <c r="AJ2" t="s">
        <v>1953</v>
      </c>
      <c r="AK2" t="s">
        <v>1952</v>
      </c>
      <c r="AL2" t="s">
        <v>1952</v>
      </c>
      <c r="AM2" s="2" t="s">
        <v>1954</v>
      </c>
      <c r="AO2" s="99" t="s">
        <v>1955</v>
      </c>
      <c r="AP2" t="s">
        <v>1956</v>
      </c>
      <c r="AQ2" t="s">
        <v>1956</v>
      </c>
      <c r="AR2" t="s">
        <v>1957</v>
      </c>
      <c r="AS2" s="99" t="s">
        <v>1958</v>
      </c>
      <c r="AT2" t="s">
        <v>1959</v>
      </c>
    </row>
    <row r="3" spans="1:46">
      <c r="A3">
        <v>12</v>
      </c>
      <c r="B3" s="98">
        <v>44364.355127314797</v>
      </c>
      <c r="C3" s="98">
        <v>44364.357685185198</v>
      </c>
      <c r="D3" t="s">
        <v>1946</v>
      </c>
      <c r="F3" t="s">
        <v>1947</v>
      </c>
      <c r="G3" s="2" t="s">
        <v>1960</v>
      </c>
      <c r="H3" s="2" t="str">
        <f>CONCATENATE('ENCUESTAS JUN-2021'!$K3,'ENCUESTAS JUN-2021'!$L3,'ENCUESTAS JUN-2021'!$M3,'ENCUESTAS JUN-2021'!$N3,'ENCUESTAS JUN-2021'!$O3,'ENCUESTAS JUN-2021'!$P3,'ENCUESTAS JUN-2021'!$Q3,'ENCUESTAS JUN-2021'!$R3,'ENCUESTAS JUN-2021'!$S3,'ENCUESTAS JUN-2021'!$T3,'ENCUESTAS JUN-2021'!$U3,'ENCUESTAS JUN-2021'!$V3,'ENCUESTAS JUN-2021'!$W3,'ENCUESTAS JUN-2021'!$X3,'ENCUESTAS JUN-2021'!$Y3,'ENCUESTAS JUN-2021'!$Z3,'ENCUESTAS JUN-2021'!$AA3,'ENCUESTAS JUN-2021'!$AB3,'ENCUESTAS JUN-2021'!$AC3,'ENCUESTAS JUN-2021'!$AD3,'ENCUESTAS JUN-2021'!$AE3,'ENCUESTAS JUN-2021'!$AF3)</f>
        <v>Ecole Nationale Supérieure de l'Electronique et de ses Applications-ENSEA (F CERGY 01)</v>
      </c>
      <c r="I3" s="129" t="s">
        <v>548</v>
      </c>
      <c r="J3" s="137" t="s">
        <v>1961</v>
      </c>
      <c r="Q3" t="s">
        <v>1962</v>
      </c>
      <c r="AH3" t="s">
        <v>1963</v>
      </c>
      <c r="AI3" t="s">
        <v>553</v>
      </c>
      <c r="AJ3" t="s">
        <v>1964</v>
      </c>
      <c r="AK3" t="s">
        <v>1965</v>
      </c>
      <c r="AL3" t="s">
        <v>1966</v>
      </c>
      <c r="AM3" s="2" t="s">
        <v>1967</v>
      </c>
      <c r="AP3" t="s">
        <v>1956</v>
      </c>
      <c r="AQ3" t="s">
        <v>1390</v>
      </c>
      <c r="AT3" t="s">
        <v>1968</v>
      </c>
    </row>
    <row r="4" spans="1:46">
      <c r="A4">
        <v>13</v>
      </c>
      <c r="B4" s="98">
        <v>44364.5499305556</v>
      </c>
      <c r="C4" s="98">
        <v>44364.5568055556</v>
      </c>
      <c r="D4" t="s">
        <v>1946</v>
      </c>
      <c r="F4" t="s">
        <v>1947</v>
      </c>
      <c r="G4" s="2" t="s">
        <v>1960</v>
      </c>
      <c r="H4" s="2" t="str">
        <f>CONCATENATE('ENCUESTAS JUN-2021'!$K4,'ENCUESTAS JUN-2021'!$L4,'ENCUESTAS JUN-2021'!$M4,'ENCUESTAS JUN-2021'!$N4,'ENCUESTAS JUN-2021'!$O4,'ENCUESTAS JUN-2021'!$P4,'ENCUESTAS JUN-2021'!$Q4,'ENCUESTAS JUN-2021'!$R4,'ENCUESTAS JUN-2021'!$S4,'ENCUESTAS JUN-2021'!$T4,'ENCUESTAS JUN-2021'!$U4,'ENCUESTAS JUN-2021'!$V4,'ENCUESTAS JUN-2021'!$W4,'ENCUESTAS JUN-2021'!$X4,'ENCUESTAS JUN-2021'!$Y4,'ENCUESTAS JUN-2021'!$Z4,'ENCUESTAS JUN-2021'!$AA4,'ENCUESTAS JUN-2021'!$AB4,'ENCUESTAS JUN-2021'!$AC4,'ENCUESTAS JUN-2021'!$AD4,'ENCUESTAS JUN-2021'!$AE4,'ENCUESTAS JUN-2021'!$AF4)</f>
        <v>Centrale SUPELEC (F GIF-YVE 03)</v>
      </c>
      <c r="I4" s="129" t="s">
        <v>573</v>
      </c>
      <c r="J4" s="137" t="s">
        <v>1969</v>
      </c>
      <c r="Q4" t="s">
        <v>1970</v>
      </c>
      <c r="AH4" t="s">
        <v>1971</v>
      </c>
      <c r="AI4" t="s">
        <v>1972</v>
      </c>
      <c r="AJ4" t="s">
        <v>1973</v>
      </c>
      <c r="AK4" t="s">
        <v>1974</v>
      </c>
      <c r="AL4" t="s">
        <v>1975</v>
      </c>
      <c r="AM4" s="2" t="s">
        <v>1967</v>
      </c>
      <c r="AP4" t="s">
        <v>1390</v>
      </c>
      <c r="AQ4" t="s">
        <v>1390</v>
      </c>
      <c r="AT4" t="s">
        <v>1976</v>
      </c>
    </row>
    <row r="5" spans="1:46">
      <c r="A5">
        <v>14</v>
      </c>
      <c r="B5" s="98">
        <v>44364.580347222203</v>
      </c>
      <c r="C5" s="98">
        <v>44364.582245370402</v>
      </c>
      <c r="D5" t="s">
        <v>1946</v>
      </c>
      <c r="F5" t="s">
        <v>1947</v>
      </c>
      <c r="G5" s="2" t="s">
        <v>1960</v>
      </c>
      <c r="H5" s="2" t="str">
        <f>CONCATENATE('ENCUESTAS JUN-2021'!$K5,'ENCUESTAS JUN-2021'!$L5,'ENCUESTAS JUN-2021'!$M5,'ENCUESTAS JUN-2021'!$N5,'ENCUESTAS JUN-2021'!$O5,'ENCUESTAS JUN-2021'!$P5,'ENCUESTAS JUN-2021'!$Q5,'ENCUESTAS JUN-2021'!$R5,'ENCUESTAS JUN-2021'!$S5,'ENCUESTAS JUN-2021'!$T5,'ENCUESTAS JUN-2021'!$U5,'ENCUESTAS JUN-2021'!$V5,'ENCUESTAS JUN-2021'!$W5,'ENCUESTAS JUN-2021'!$X5,'ENCUESTAS JUN-2021'!$Y5,'ENCUESTAS JUN-2021'!$Z5,'ENCUESTAS JUN-2021'!$AA5,'ENCUESTAS JUN-2021'!$AB5,'ENCUESTAS JUN-2021'!$AC5,'ENCUESTAS JUN-2021'!$AD5,'ENCUESTAS JUN-2021'!$AE5,'ENCUESTAS JUN-2021'!$AF5)</f>
        <v>Institut d'Optique Théorique et Appliquée (F ORSAY 02)</v>
      </c>
      <c r="I5" s="129" t="s">
        <v>739</v>
      </c>
      <c r="J5" s="137" t="s">
        <v>1977</v>
      </c>
      <c r="Q5" t="s">
        <v>1978</v>
      </c>
      <c r="AH5" t="s">
        <v>1979</v>
      </c>
      <c r="AI5" t="s">
        <v>1980</v>
      </c>
      <c r="AJ5" t="s">
        <v>1979</v>
      </c>
      <c r="AK5" t="s">
        <v>1981</v>
      </c>
      <c r="AL5" t="s">
        <v>1980</v>
      </c>
      <c r="AM5" s="2" t="s">
        <v>1967</v>
      </c>
      <c r="AP5" t="s">
        <v>1956</v>
      </c>
      <c r="AQ5" t="s">
        <v>1390</v>
      </c>
      <c r="AT5" t="s">
        <v>1982</v>
      </c>
    </row>
    <row r="6" spans="1:46">
      <c r="A6">
        <v>15</v>
      </c>
      <c r="B6" s="98">
        <v>44364.582106481503</v>
      </c>
      <c r="C6" s="98">
        <v>44364.583090277803</v>
      </c>
      <c r="D6" t="s">
        <v>1946</v>
      </c>
      <c r="F6" t="s">
        <v>1947</v>
      </c>
      <c r="G6" s="2" t="s">
        <v>1960</v>
      </c>
      <c r="H6" s="2" t="str">
        <f>CONCATENATE('ENCUESTAS JUN-2021'!$K6,'ENCUESTAS JUN-2021'!$L6,'ENCUESTAS JUN-2021'!$M6,'ENCUESTAS JUN-2021'!$N6,'ENCUESTAS JUN-2021'!$O6,'ENCUESTAS JUN-2021'!$P6,'ENCUESTAS JUN-2021'!$Q6,'ENCUESTAS JUN-2021'!$R6,'ENCUESTAS JUN-2021'!$S6,'ENCUESTAS JUN-2021'!$T6,'ENCUESTAS JUN-2021'!$U6,'ENCUESTAS JUN-2021'!$V6,'ENCUESTAS JUN-2021'!$W6,'ENCUESTAS JUN-2021'!$X6,'ENCUESTAS JUN-2021'!$Y6,'ENCUESTAS JUN-2021'!$Z6,'ENCUESTAS JUN-2021'!$AA6,'ENCUESTAS JUN-2021'!$AB6,'ENCUESTAS JUN-2021'!$AC6,'ENCUESTAS JUN-2021'!$AD6,'ENCUESTAS JUN-2021'!$AE6,'ENCUESTAS JUN-2021'!$AF6)</f>
        <v>HEC (F JOUY-JO 02)</v>
      </c>
      <c r="I6" s="129" t="s">
        <v>611</v>
      </c>
      <c r="J6" s="137" t="s">
        <v>1983</v>
      </c>
      <c r="Q6" t="s">
        <v>1984</v>
      </c>
      <c r="AH6" t="s">
        <v>1985</v>
      </c>
      <c r="AI6" t="s">
        <v>1986</v>
      </c>
      <c r="AJ6" t="s">
        <v>1985</v>
      </c>
      <c r="AK6" t="s">
        <v>1987</v>
      </c>
      <c r="AL6" t="s">
        <v>1986</v>
      </c>
      <c r="AM6" s="2" t="s">
        <v>1967</v>
      </c>
      <c r="AP6" t="s">
        <v>1390</v>
      </c>
      <c r="AQ6" t="s">
        <v>1390</v>
      </c>
    </row>
    <row r="7" spans="1:46">
      <c r="A7">
        <v>16</v>
      </c>
      <c r="B7" s="98">
        <v>44364.603437500002</v>
      </c>
      <c r="C7" s="98">
        <v>44364.605671296304</v>
      </c>
      <c r="D7" t="s">
        <v>1946</v>
      </c>
      <c r="F7" t="s">
        <v>1947</v>
      </c>
      <c r="G7" s="2" t="s">
        <v>1988</v>
      </c>
      <c r="H7" s="2" t="str">
        <f>CONCATENATE('ENCUESTAS JUN-2021'!$K7,'ENCUESTAS JUN-2021'!$L7,'ENCUESTAS JUN-2021'!$M7,'ENCUESTAS JUN-2021'!$N7,'ENCUESTAS JUN-2021'!$O7,'ENCUESTAS JUN-2021'!$P7,'ENCUESTAS JUN-2021'!$Q7,'ENCUESTAS JUN-2021'!$R7,'ENCUESTAS JUN-2021'!$S7,'ENCUESTAS JUN-2021'!$T7,'ENCUESTAS JUN-2021'!$U7,'ENCUESTAS JUN-2021'!$V7,'ENCUESTAS JUN-2021'!$W7,'ENCUESTAS JUN-2021'!$X7,'ENCUESTAS JUN-2021'!$Y7,'ENCUESTAS JUN-2021'!$Z7,'ENCUESTAS JUN-2021'!$AA7,'ENCUESTAS JUN-2021'!$AB7,'ENCUESTAS JUN-2021'!$AC7,'ENCUESTAS JUN-2021'!$AD7,'ENCUESTAS JUN-2021'!$AE7,'ENCUESTAS JUN-2021'!$AF7)</f>
        <v>Namik Kemal University (TR TEKIRDAG 01)</v>
      </c>
      <c r="I7" s="129" t="s">
        <v>1378</v>
      </c>
      <c r="J7" s="137" t="s">
        <v>1989</v>
      </c>
      <c r="AE7" t="s">
        <v>1990</v>
      </c>
      <c r="AG7" t="s">
        <v>1991</v>
      </c>
      <c r="AH7" t="s">
        <v>1992</v>
      </c>
      <c r="AI7" t="s">
        <v>1993</v>
      </c>
      <c r="AJ7" t="s">
        <v>1994</v>
      </c>
      <c r="AK7" t="s">
        <v>1995</v>
      </c>
      <c r="AL7" t="s">
        <v>1996</v>
      </c>
      <c r="AM7" s="2" t="s">
        <v>1967</v>
      </c>
      <c r="AP7" t="s">
        <v>1956</v>
      </c>
      <c r="AQ7" t="s">
        <v>1390</v>
      </c>
    </row>
    <row r="8" spans="1:46">
      <c r="A8">
        <v>17</v>
      </c>
      <c r="B8" s="98">
        <v>44364.656597222202</v>
      </c>
      <c r="C8" s="98">
        <v>44364.658518518503</v>
      </c>
      <c r="D8" t="s">
        <v>1946</v>
      </c>
      <c r="F8" t="s">
        <v>1947</v>
      </c>
      <c r="G8" s="2" t="s">
        <v>1997</v>
      </c>
      <c r="H8" s="2" t="str">
        <f>CONCATENATE('ENCUESTAS JUN-2021'!$K8,'ENCUESTAS JUN-2021'!$L8,'ENCUESTAS JUN-2021'!$M8,'ENCUESTAS JUN-2021'!$N8,'ENCUESTAS JUN-2021'!$O8,'ENCUESTAS JUN-2021'!$P8,'ENCUESTAS JUN-2021'!$Q8,'ENCUESTAS JUN-2021'!$R8,'ENCUESTAS JUN-2021'!$S8,'ENCUESTAS JUN-2021'!$T8,'ENCUESTAS JUN-2021'!$U8,'ENCUESTAS JUN-2021'!$V8,'ENCUESTAS JUN-2021'!$W8,'ENCUESTAS JUN-2021'!$X8,'ENCUESTAS JUN-2021'!$Y8,'ENCUESTAS JUN-2021'!$Z8,'ENCUESTAS JUN-2021'!$AA8,'ENCUESTAS JUN-2021'!$AB8,'ENCUESTAS JUN-2021'!$AC8,'ENCUESTAS JUN-2021'!$AD8,'ENCUESTAS JUN-2021'!$AE8,'ENCUESTAS JUN-2021'!$AF8)</f>
        <v>Instituto Politécnico do Porto (P PORTO 05)</v>
      </c>
      <c r="I8" s="129" t="s">
        <v>1155</v>
      </c>
      <c r="J8" s="137" t="s">
        <v>1998</v>
      </c>
      <c r="Z8" t="s">
        <v>1999</v>
      </c>
      <c r="AH8" t="s">
        <v>2000</v>
      </c>
      <c r="AI8" t="s">
        <v>2001</v>
      </c>
      <c r="AJ8" t="s">
        <v>2002</v>
      </c>
      <c r="AK8" t="s">
        <v>2003</v>
      </c>
      <c r="AL8" t="s">
        <v>2004</v>
      </c>
      <c r="AM8" s="2" t="s">
        <v>1967</v>
      </c>
      <c r="AP8" t="s">
        <v>1390</v>
      </c>
      <c r="AQ8" t="s">
        <v>1390</v>
      </c>
    </row>
    <row r="9" spans="1:46">
      <c r="A9">
        <v>18</v>
      </c>
      <c r="B9" s="98">
        <v>44364.656018518501</v>
      </c>
      <c r="C9" s="98">
        <v>44364.659189814804</v>
      </c>
      <c r="D9" t="s">
        <v>1946</v>
      </c>
      <c r="F9" t="s">
        <v>1947</v>
      </c>
      <c r="G9" s="2" t="s">
        <v>2005</v>
      </c>
      <c r="H9" s="2" t="str">
        <f>CONCATENATE('ENCUESTAS JUN-2021'!$K9,'ENCUESTAS JUN-2021'!$L9,'ENCUESTAS JUN-2021'!$M9,'ENCUESTAS JUN-2021'!$N9,'ENCUESTAS JUN-2021'!$O9,'ENCUESTAS JUN-2021'!$P9,'ENCUESTAS JUN-2021'!$Q9,'ENCUESTAS JUN-2021'!$R9,'ENCUESTAS JUN-2021'!$S9,'ENCUESTAS JUN-2021'!$T9,'ENCUESTAS JUN-2021'!$U9,'ENCUESTAS JUN-2021'!$V9,'ENCUESTAS JUN-2021'!$W9,'ENCUESTAS JUN-2021'!$X9,'ENCUESTAS JUN-2021'!$Y9,'ENCUESTAS JUN-2021'!$Z9,'ENCUESTAS JUN-2021'!$AA9,'ENCUESTAS JUN-2021'!$AB9,'ENCUESTAS JUN-2021'!$AC9,'ENCUESTAS JUN-2021'!$AD9,'ENCUESTAS JUN-2021'!$AE9,'ENCUESTAS JUN-2021'!$AF9)</f>
        <v>TUHH Technische Universität Hamburg-Harburg (D HAMBURG 03)</v>
      </c>
      <c r="I9" s="129" t="s">
        <v>2006</v>
      </c>
      <c r="J9" s="137" t="s">
        <v>2007</v>
      </c>
      <c r="R9" t="s">
        <v>2008</v>
      </c>
      <c r="AG9" t="s">
        <v>2009</v>
      </c>
      <c r="AH9" t="s">
        <v>2010</v>
      </c>
      <c r="AI9" t="s">
        <v>2011</v>
      </c>
      <c r="AJ9" t="s">
        <v>2010</v>
      </c>
      <c r="AK9" t="s">
        <v>1987</v>
      </c>
      <c r="AL9" t="s">
        <v>2011</v>
      </c>
      <c r="AM9" s="2" t="s">
        <v>1967</v>
      </c>
      <c r="AP9" t="s">
        <v>1390</v>
      </c>
      <c r="AQ9" t="s">
        <v>1956</v>
      </c>
      <c r="AR9" t="s">
        <v>1957</v>
      </c>
      <c r="AS9" s="99" t="s">
        <v>1958</v>
      </c>
    </row>
    <row r="10" spans="1:46">
      <c r="A10">
        <v>19</v>
      </c>
      <c r="B10" s="98">
        <v>44364.701064814799</v>
      </c>
      <c r="C10" s="98">
        <v>44364.703969907401</v>
      </c>
      <c r="D10" t="s">
        <v>1946</v>
      </c>
      <c r="F10" t="s">
        <v>1947</v>
      </c>
      <c r="G10" s="2" t="s">
        <v>2012</v>
      </c>
      <c r="H10" s="2" t="str">
        <f>CONCATENATE('ENCUESTAS JUN-2021'!$K10,'ENCUESTAS JUN-2021'!$L10,'ENCUESTAS JUN-2021'!$M10,'ENCUESTAS JUN-2021'!$N10,'ENCUESTAS JUN-2021'!$O10,'ENCUESTAS JUN-2021'!$P10,'ENCUESTAS JUN-2021'!$Q10,'ENCUESTAS JUN-2021'!$R10,'ENCUESTAS JUN-2021'!$S10,'ENCUESTAS JUN-2021'!$T10,'ENCUESTAS JUN-2021'!$U10,'ENCUESTAS JUN-2021'!$V10,'ENCUESTAS JUN-2021'!$W10,'ENCUESTAS JUN-2021'!$X10,'ENCUESTAS JUN-2021'!$Y10,'ENCUESTAS JUN-2021'!$Z10,'ENCUESTAS JUN-2021'!$AA10,'ENCUESTAS JUN-2021'!$AB10,'ENCUESTAS JUN-2021'!$AC10,'ENCUESTAS JUN-2021'!$AD10,'ENCUESTAS JUN-2021'!$AE10,'ENCUESTAS JUN-2021'!$AF10)</f>
        <v>Université de Liège (B LIEGE 01)</v>
      </c>
      <c r="I10" s="129" t="s">
        <v>177</v>
      </c>
      <c r="J10" s="137" t="s">
        <v>2013</v>
      </c>
      <c r="L10" t="s">
        <v>2014</v>
      </c>
      <c r="AH10" t="s">
        <v>2015</v>
      </c>
      <c r="AI10" t="s">
        <v>2016</v>
      </c>
      <c r="AJ10" t="s">
        <v>2017</v>
      </c>
      <c r="AK10" t="s">
        <v>2018</v>
      </c>
      <c r="AL10" t="s">
        <v>2019</v>
      </c>
      <c r="AM10" s="2" t="s">
        <v>1967</v>
      </c>
      <c r="AP10" t="s">
        <v>1390</v>
      </c>
      <c r="AQ10" t="s">
        <v>1390</v>
      </c>
      <c r="AT10" t="s">
        <v>2020</v>
      </c>
    </row>
    <row r="11" spans="1:46">
      <c r="A11">
        <v>20</v>
      </c>
      <c r="B11" s="98">
        <v>44365.403043981503</v>
      </c>
      <c r="C11" s="98">
        <v>44365.4059375</v>
      </c>
      <c r="D11" t="s">
        <v>1946</v>
      </c>
      <c r="F11" t="s">
        <v>1947</v>
      </c>
      <c r="G11" s="2" t="s">
        <v>2012</v>
      </c>
      <c r="H11" s="2" t="str">
        <f>CONCATENATE('ENCUESTAS JUN-2021'!$K11,'ENCUESTAS JUN-2021'!$L11,'ENCUESTAS JUN-2021'!$M11,'ENCUESTAS JUN-2021'!$N11,'ENCUESTAS JUN-2021'!$O11,'ENCUESTAS JUN-2021'!$P11,'ENCUESTAS JUN-2021'!$Q11,'ENCUESTAS JUN-2021'!$R11,'ENCUESTAS JUN-2021'!$S11,'ENCUESTAS JUN-2021'!$T11,'ENCUESTAS JUN-2021'!$U11,'ENCUESTAS JUN-2021'!$V11,'ENCUESTAS JUN-2021'!$W11,'ENCUESTAS JUN-2021'!$X11,'ENCUESTAS JUN-2021'!$Y11,'ENCUESTAS JUN-2021'!$Z11,'ENCUESTAS JUN-2021'!$AA11,'ENCUESTAS JUN-2021'!$AB11,'ENCUESTAS JUN-2021'!$AC11,'ENCUESTAS JUN-2021'!$AD11,'ENCUESTAS JUN-2021'!$AE11,'ENCUESTAS JUN-2021'!$AF11)</f>
        <v>Katholike Universiteit Leuven (B LEUVEN 01)</v>
      </c>
      <c r="I11" s="129" t="s">
        <v>164</v>
      </c>
      <c r="J11" s="137" t="s">
        <v>2021</v>
      </c>
      <c r="L11" t="s">
        <v>2022</v>
      </c>
      <c r="AG11" t="s">
        <v>2023</v>
      </c>
      <c r="AH11" t="s">
        <v>2024</v>
      </c>
      <c r="AI11" t="s">
        <v>2025</v>
      </c>
      <c r="AJ11" t="s">
        <v>2024</v>
      </c>
      <c r="AK11" t="s">
        <v>2026</v>
      </c>
      <c r="AL11" t="s">
        <v>2025</v>
      </c>
      <c r="AM11" s="2" t="s">
        <v>1967</v>
      </c>
      <c r="AP11" t="s">
        <v>1956</v>
      </c>
      <c r="AQ11" t="s">
        <v>1956</v>
      </c>
      <c r="AR11" t="s">
        <v>2027</v>
      </c>
      <c r="AS11" t="s">
        <v>2028</v>
      </c>
      <c r="AT11" t="s">
        <v>2029</v>
      </c>
    </row>
    <row r="12" spans="1:46">
      <c r="A12">
        <v>21</v>
      </c>
      <c r="B12" s="98">
        <v>44365.449988425898</v>
      </c>
      <c r="C12" s="98">
        <v>44365.4519097222</v>
      </c>
      <c r="D12" t="s">
        <v>1946</v>
      </c>
      <c r="F12" t="s">
        <v>1947</v>
      </c>
      <c r="G12" s="2" t="s">
        <v>2030</v>
      </c>
      <c r="H12" s="2" t="str">
        <f>CONCATENATE('ENCUESTAS JUN-2021'!$K12,'ENCUESTAS JUN-2021'!$L12,'ENCUESTAS JUN-2021'!$M12,'ENCUESTAS JUN-2021'!$N12,'ENCUESTAS JUN-2021'!$O12,'ENCUESTAS JUN-2021'!$P12,'ENCUESTAS JUN-2021'!$Q12,'ENCUESTAS JUN-2021'!$R12,'ENCUESTAS JUN-2021'!$S12,'ENCUESTAS JUN-2021'!$T12,'ENCUESTAS JUN-2021'!$U12,'ENCUESTAS JUN-2021'!$V12,'ENCUESTAS JUN-2021'!$W12,'ENCUESTAS JUN-2021'!$X12,'ENCUESTAS JUN-2021'!$Y12,'ENCUESTAS JUN-2021'!$Z12,'ENCUESTAS JUN-2021'!$AA12,'ENCUESTAS JUN-2021'!$AB12,'ENCUESTAS JUN-2021'!$AC12,'ENCUESTAS JUN-2021'!$AD12,'ENCUESTAS JUN-2021'!$AE12,'ENCUESTAS JUN-2021'!$AF12)</f>
        <v>Cracow University of Technology- Politechnika Krakowska (PL KRAKOW 03)</v>
      </c>
      <c r="I12" s="129" t="s">
        <v>1129</v>
      </c>
      <c r="J12" s="137" t="s">
        <v>2031</v>
      </c>
      <c r="Y12" t="s">
        <v>2032</v>
      </c>
      <c r="AG12" t="s">
        <v>1131</v>
      </c>
      <c r="AH12" t="s">
        <v>2033</v>
      </c>
      <c r="AI12" t="s">
        <v>2034</v>
      </c>
      <c r="AJ12" t="s">
        <v>2035</v>
      </c>
      <c r="AK12" t="s">
        <v>2036</v>
      </c>
      <c r="AL12" t="s">
        <v>2037</v>
      </c>
      <c r="AM12" s="2" t="s">
        <v>1967</v>
      </c>
      <c r="AP12" t="s">
        <v>1390</v>
      </c>
      <c r="AQ12" t="s">
        <v>1390</v>
      </c>
    </row>
    <row r="13" spans="1:46">
      <c r="A13">
        <v>22</v>
      </c>
      <c r="B13" s="98">
        <v>44365.4707291667</v>
      </c>
      <c r="C13" s="98">
        <v>44365.487303240698</v>
      </c>
      <c r="D13" t="s">
        <v>1946</v>
      </c>
      <c r="F13" t="s">
        <v>1947</v>
      </c>
      <c r="G13" s="2" t="s">
        <v>2005</v>
      </c>
      <c r="H13" s="2" t="str">
        <f>CONCATENATE('ENCUESTAS JUN-2021'!$K13,'ENCUESTAS JUN-2021'!$L13,'ENCUESTAS JUN-2021'!$M13,'ENCUESTAS JUN-2021'!$N13,'ENCUESTAS JUN-2021'!$O13,'ENCUESTAS JUN-2021'!$P13,'ENCUESTAS JUN-2021'!$Q13,'ENCUESTAS JUN-2021'!$R13,'ENCUESTAS JUN-2021'!$S13,'ENCUESTAS JUN-2021'!$T13,'ENCUESTAS JUN-2021'!$U13,'ENCUESTAS JUN-2021'!$V13,'ENCUESTAS JUN-2021'!$W13,'ENCUESTAS JUN-2021'!$X13,'ENCUESTAS JUN-2021'!$Y13,'ENCUESTAS JUN-2021'!$Z13,'ENCUESTAS JUN-2021'!$AA13,'ENCUESTAS JUN-2021'!$AB13,'ENCUESTAS JUN-2021'!$AC13,'ENCUESTAS JUN-2021'!$AD13,'ENCUESTAS JUN-2021'!$AE13,'ENCUESTAS JUN-2021'!$AF13)</f>
        <v>RWTH - Aachen (D AACHEN 01)</v>
      </c>
      <c r="I13" s="129" t="s">
        <v>281</v>
      </c>
      <c r="J13" s="137" t="s">
        <v>2038</v>
      </c>
      <c r="R13" t="s">
        <v>2039</v>
      </c>
      <c r="AH13" t="s">
        <v>2040</v>
      </c>
      <c r="AI13" t="s">
        <v>2041</v>
      </c>
      <c r="AJ13" t="s">
        <v>2042</v>
      </c>
      <c r="AK13" t="s">
        <v>2043</v>
      </c>
      <c r="AL13" t="s">
        <v>2041</v>
      </c>
      <c r="AM13" s="2" t="s">
        <v>1967</v>
      </c>
      <c r="AP13" t="s">
        <v>1390</v>
      </c>
      <c r="AQ13" t="s">
        <v>1390</v>
      </c>
    </row>
    <row r="14" spans="1:46">
      <c r="A14">
        <v>23</v>
      </c>
      <c r="B14" s="98">
        <v>44365.529479166697</v>
      </c>
      <c r="C14" s="98">
        <v>44365.533067129603</v>
      </c>
      <c r="D14" t="s">
        <v>1946</v>
      </c>
      <c r="F14" t="s">
        <v>1947</v>
      </c>
      <c r="G14" s="2" t="s">
        <v>1948</v>
      </c>
      <c r="H14" s="2" t="str">
        <f>CONCATENATE('ENCUESTAS JUN-2021'!$K14,'ENCUESTAS JUN-2021'!$L14,'ENCUESTAS JUN-2021'!$M14,'ENCUESTAS JUN-2021'!$N14,'ENCUESTAS JUN-2021'!$O14,'ENCUESTAS JUN-2021'!$P14,'ENCUESTAS JUN-2021'!$Q14,'ENCUESTAS JUN-2021'!$R14,'ENCUESTAS JUN-2021'!$S14,'ENCUESTAS JUN-2021'!$T14,'ENCUESTAS JUN-2021'!$U14,'ENCUESTAS JUN-2021'!$V14,'ENCUESTAS JUN-2021'!$W14,'ENCUESTAS JUN-2021'!$X14,'ENCUESTAS JUN-2021'!$Y14,'ENCUESTAS JUN-2021'!$Z14,'ENCUESTAS JUN-2021'!$AA14,'ENCUESTAS JUN-2021'!$AB14,'ENCUESTAS JUN-2021'!$AC14,'ENCUESTAS JUN-2021'!$AD14,'ENCUESTAS JUN-2021'!$AE14,'ENCUESTAS JUN-2021'!$AF14)</f>
        <v>South-Eastern Finland University of Applied Sciences XAMK (SF MIKKELI 06)</v>
      </c>
      <c r="I14" s="129" t="s">
        <v>1309</v>
      </c>
      <c r="J14" s="137" t="s">
        <v>2044</v>
      </c>
      <c r="P14" t="s">
        <v>2045</v>
      </c>
      <c r="AG14" t="s">
        <v>1312</v>
      </c>
      <c r="AH14" t="s">
        <v>2046</v>
      </c>
      <c r="AI14" t="s">
        <v>2047</v>
      </c>
      <c r="AJ14" t="s">
        <v>2046</v>
      </c>
      <c r="AK14" t="s">
        <v>2048</v>
      </c>
      <c r="AL14" t="s">
        <v>2047</v>
      </c>
      <c r="AM14" s="2" t="s">
        <v>1967</v>
      </c>
      <c r="AP14" t="s">
        <v>1390</v>
      </c>
      <c r="AQ14" t="s">
        <v>1390</v>
      </c>
    </row>
    <row r="15" spans="1:46">
      <c r="A15">
        <v>24</v>
      </c>
      <c r="B15" s="98">
        <v>44365.537384259304</v>
      </c>
      <c r="C15" s="98">
        <v>44365.540439814802</v>
      </c>
      <c r="D15" t="s">
        <v>1946</v>
      </c>
      <c r="F15" t="s">
        <v>1947</v>
      </c>
      <c r="G15" s="2" t="s">
        <v>2005</v>
      </c>
      <c r="H15" s="2" t="str">
        <f>CONCATENATE('ENCUESTAS JUN-2021'!$K15,'ENCUESTAS JUN-2021'!$L15,'ENCUESTAS JUN-2021'!$M15,'ENCUESTAS JUN-2021'!$N15,'ENCUESTAS JUN-2021'!$O15,'ENCUESTAS JUN-2021'!$P15,'ENCUESTAS JUN-2021'!$Q15,'ENCUESTAS JUN-2021'!$R15,'ENCUESTAS JUN-2021'!$S15,'ENCUESTAS JUN-2021'!$T15,'ENCUESTAS JUN-2021'!$U15,'ENCUESTAS JUN-2021'!$V15,'ENCUESTAS JUN-2021'!$W15,'ENCUESTAS JUN-2021'!$X15,'ENCUESTAS JUN-2021'!$Y15,'ENCUESTAS JUN-2021'!$Z15,'ENCUESTAS JUN-2021'!$AA15,'ENCUESTAS JUN-2021'!$AB15,'ENCUESTAS JUN-2021'!$AC15,'ENCUESTAS JUN-2021'!$AD15,'ENCUESTAS JUN-2021'!$AE15,'ENCUESTAS JUN-2021'!$AF15)</f>
        <v>Friedrich-Alexander Universität FAU (D ERLANGE 01)</v>
      </c>
      <c r="I15" s="129" t="s">
        <v>344</v>
      </c>
      <c r="J15" s="137" t="s">
        <v>2049</v>
      </c>
      <c r="R15" t="s">
        <v>2050</v>
      </c>
      <c r="AG15" t="s">
        <v>2051</v>
      </c>
      <c r="AH15" t="s">
        <v>2052</v>
      </c>
      <c r="AI15" t="s">
        <v>2053</v>
      </c>
      <c r="AJ15" t="s">
        <v>2054</v>
      </c>
      <c r="AK15" t="s">
        <v>2055</v>
      </c>
      <c r="AL15" t="s">
        <v>2053</v>
      </c>
      <c r="AM15" s="2" t="s">
        <v>2056</v>
      </c>
      <c r="AN15" t="s">
        <v>2057</v>
      </c>
      <c r="AP15" t="s">
        <v>1390</v>
      </c>
      <c r="AQ15" t="s">
        <v>1390</v>
      </c>
    </row>
    <row r="16" spans="1:46">
      <c r="A16">
        <v>25</v>
      </c>
      <c r="B16" s="98">
        <v>44365.549629629597</v>
      </c>
      <c r="C16" s="98">
        <v>44365.560057870403</v>
      </c>
      <c r="D16" t="s">
        <v>1946</v>
      </c>
      <c r="F16" t="s">
        <v>1947</v>
      </c>
      <c r="G16" s="2" t="s">
        <v>2058</v>
      </c>
      <c r="H16" s="2" t="str">
        <f>CONCATENATE('ENCUESTAS JUN-2021'!$K16,'ENCUESTAS JUN-2021'!$L16,'ENCUESTAS JUN-2021'!$M16,'ENCUESTAS JUN-2021'!$N16,'ENCUESTAS JUN-2021'!$O16,'ENCUESTAS JUN-2021'!$P16,'ENCUESTAS JUN-2021'!$Q16,'ENCUESTAS JUN-2021'!$R16,'ENCUESTAS JUN-2021'!$S16,'ENCUESTAS JUN-2021'!$T16,'ENCUESTAS JUN-2021'!$U16,'ENCUESTAS JUN-2021'!$V16,'ENCUESTAS JUN-2021'!$W16,'ENCUESTAS JUN-2021'!$X16,'ENCUESTAS JUN-2021'!$Y16,'ENCUESTAS JUN-2021'!$Z16,'ENCUESTAS JUN-2021'!$AA16,'ENCUESTAS JUN-2021'!$AB16,'ENCUESTAS JUN-2021'!$AC16,'ENCUESTAS JUN-2021'!$AD16,'ENCUESTAS JUN-2021'!$AE16,'ENCUESTAS JUN-2021'!$AF16)</f>
        <v>Lund Institute of Technology (S LUND 01)</v>
      </c>
      <c r="I16" s="129" t="s">
        <v>1271</v>
      </c>
      <c r="J16" s="137" t="s">
        <v>2059</v>
      </c>
      <c r="AC16" t="s">
        <v>2060</v>
      </c>
      <c r="AG16" t="s">
        <v>2061</v>
      </c>
      <c r="AH16" t="s">
        <v>2062</v>
      </c>
      <c r="AI16" t="s">
        <v>2063</v>
      </c>
      <c r="AJ16" t="s">
        <v>2062</v>
      </c>
      <c r="AK16" t="s">
        <v>2064</v>
      </c>
      <c r="AL16" t="s">
        <v>2063</v>
      </c>
      <c r="AM16" s="2" t="s">
        <v>1967</v>
      </c>
      <c r="AP16" t="s">
        <v>1390</v>
      </c>
      <c r="AQ16" t="s">
        <v>1956</v>
      </c>
      <c r="AR16" t="s">
        <v>2065</v>
      </c>
      <c r="AS16" t="s">
        <v>2066</v>
      </c>
    </row>
    <row r="17" spans="1:46">
      <c r="A17">
        <v>26</v>
      </c>
      <c r="B17" s="98">
        <v>44365.597615740699</v>
      </c>
      <c r="C17" s="98">
        <v>44365.5988194444</v>
      </c>
      <c r="D17" t="s">
        <v>1946</v>
      </c>
      <c r="F17" t="s">
        <v>1947</v>
      </c>
      <c r="G17" s="2" t="s">
        <v>2012</v>
      </c>
      <c r="H17" s="2" t="str">
        <f>CONCATENATE('ENCUESTAS JUN-2021'!$K17,'ENCUESTAS JUN-2021'!$L17,'ENCUESTAS JUN-2021'!$M17,'ENCUESTAS JUN-2021'!$N17,'ENCUESTAS JUN-2021'!$O17,'ENCUESTAS JUN-2021'!$P17,'ENCUESTAS JUN-2021'!$Q17,'ENCUESTAS JUN-2021'!$R17,'ENCUESTAS JUN-2021'!$S17,'ENCUESTAS JUN-2021'!$T17,'ENCUESTAS JUN-2021'!$U17,'ENCUESTAS JUN-2021'!$V17,'ENCUESTAS JUN-2021'!$W17,'ENCUESTAS JUN-2021'!$X17,'ENCUESTAS JUN-2021'!$Y17,'ENCUESTAS JUN-2021'!$Z17,'ENCUESTAS JUN-2021'!$AA17,'ENCUESTAS JUN-2021'!$AB17,'ENCUESTAS JUN-2021'!$AC17,'ENCUESTAS JUN-2021'!$AD17,'ENCUESTAS JUN-2021'!$AE17,'ENCUESTAS JUN-2021'!$AF17)</f>
        <v>Universiteit Gent (B GENT 01)</v>
      </c>
      <c r="I17" s="129" t="s">
        <v>149</v>
      </c>
      <c r="J17" s="137" t="s">
        <v>1856</v>
      </c>
      <c r="L17" t="s">
        <v>2067</v>
      </c>
      <c r="AH17" t="s">
        <v>2068</v>
      </c>
      <c r="AI17" t="s">
        <v>2069</v>
      </c>
      <c r="AJ17" t="s">
        <v>2070</v>
      </c>
      <c r="AK17" t="s">
        <v>2071</v>
      </c>
      <c r="AL17" t="s">
        <v>2072</v>
      </c>
      <c r="AM17" s="2" t="s">
        <v>1967</v>
      </c>
      <c r="AP17" t="s">
        <v>1390</v>
      </c>
      <c r="AQ17" t="s">
        <v>1390</v>
      </c>
    </row>
    <row r="18" spans="1:46">
      <c r="A18">
        <v>27</v>
      </c>
      <c r="B18" s="98">
        <v>44365.663055555597</v>
      </c>
      <c r="C18" s="98">
        <v>44365.749571759297</v>
      </c>
      <c r="D18" t="s">
        <v>1946</v>
      </c>
      <c r="F18" t="s">
        <v>1947</v>
      </c>
      <c r="G18" s="2" t="s">
        <v>1960</v>
      </c>
      <c r="H18" s="2" t="str">
        <f>CONCATENATE('ENCUESTAS JUN-2021'!$K18,'ENCUESTAS JUN-2021'!$L18,'ENCUESTAS JUN-2021'!$M18,'ENCUESTAS JUN-2021'!$N18,'ENCUESTAS JUN-2021'!$O18,'ENCUESTAS JUN-2021'!$P18,'ENCUESTAS JUN-2021'!$Q18,'ENCUESTAS JUN-2021'!$R18,'ENCUESTAS JUN-2021'!$S18,'ENCUESTAS JUN-2021'!$T18,'ENCUESTAS JUN-2021'!$U18,'ENCUESTAS JUN-2021'!$V18,'ENCUESTAS JUN-2021'!$W18,'ENCUESTAS JUN-2021'!$X18,'ENCUESTAS JUN-2021'!$Y18,'ENCUESTAS JUN-2021'!$Z18,'ENCUESTAS JUN-2021'!$AA18,'ENCUESTAS JUN-2021'!$AB18,'ENCUESTAS JUN-2021'!$AC18,'ENCUESTAS JUN-2021'!$AD18,'ENCUESTAS JUN-2021'!$AE18,'ENCUESTAS JUN-2021'!$AF18)</f>
        <v>ISAE-SUPAERO (F TOULOUS 16)</v>
      </c>
      <c r="I18" s="129" t="s">
        <v>837</v>
      </c>
      <c r="J18" s="137" t="s">
        <v>2073</v>
      </c>
      <c r="Q18" t="s">
        <v>2074</v>
      </c>
      <c r="AG18" t="s">
        <v>2073</v>
      </c>
      <c r="AH18" t="s">
        <v>2075</v>
      </c>
      <c r="AI18" t="s">
        <v>2076</v>
      </c>
      <c r="AJ18" t="s">
        <v>2077</v>
      </c>
      <c r="AK18" t="s">
        <v>2078</v>
      </c>
      <c r="AL18" t="s">
        <v>2079</v>
      </c>
      <c r="AM18" s="2" t="s">
        <v>2056</v>
      </c>
      <c r="AN18" t="s">
        <v>2080</v>
      </c>
      <c r="AP18" t="s">
        <v>1390</v>
      </c>
      <c r="AQ18" t="s">
        <v>1956</v>
      </c>
      <c r="AR18" t="s">
        <v>2081</v>
      </c>
      <c r="AS18" t="s">
        <v>2082</v>
      </c>
      <c r="AT18" t="s">
        <v>2083</v>
      </c>
    </row>
    <row r="19" spans="1:46">
      <c r="A19">
        <v>28</v>
      </c>
      <c r="B19" s="98">
        <v>44368.443275463003</v>
      </c>
      <c r="C19" s="98">
        <v>44368.4453125</v>
      </c>
      <c r="D19" t="s">
        <v>1946</v>
      </c>
      <c r="F19" t="s">
        <v>1947</v>
      </c>
      <c r="G19" s="2" t="s">
        <v>2084</v>
      </c>
      <c r="H19" s="2" t="str">
        <f>CONCATENATE('ENCUESTAS JUN-2021'!$K19,'ENCUESTAS JUN-2021'!$L19,'ENCUESTAS JUN-2021'!$M19,'ENCUESTAS JUN-2021'!$N19,'ENCUESTAS JUN-2021'!$O19,'ENCUESTAS JUN-2021'!$P19,'ENCUESTAS JUN-2021'!$Q19,'ENCUESTAS JUN-2021'!$R19,'ENCUESTAS JUN-2021'!$S19,'ENCUESTAS JUN-2021'!$T19,'ENCUESTAS JUN-2021'!$U19,'ENCUESTAS JUN-2021'!$V19,'ENCUESTAS JUN-2021'!$W19,'ENCUESTAS JUN-2021'!$X19,'ENCUESTAS JUN-2021'!$Y19,'ENCUESTAS JUN-2021'!$Z19,'ENCUESTAS JUN-2021'!$AA19,'ENCUESTAS JUN-2021'!$AB19,'ENCUESTAS JUN-2021'!$AC19,'ENCUESTAS JUN-2021'!$AD19,'ENCUESTAS JUN-2021'!$AE19,'ENCUESTAS JUN-2021'!$AF19)</f>
        <v>Università La Sapienza (I ROMA 01)</v>
      </c>
      <c r="I19" s="129" t="s">
        <v>943</v>
      </c>
      <c r="J19" s="137" t="s">
        <v>2085</v>
      </c>
      <c r="U19" t="s">
        <v>2086</v>
      </c>
      <c r="AH19" t="s">
        <v>2087</v>
      </c>
      <c r="AI19" t="s">
        <v>2088</v>
      </c>
      <c r="AJ19" t="s">
        <v>2089</v>
      </c>
      <c r="AK19" t="s">
        <v>2090</v>
      </c>
      <c r="AL19" t="s">
        <v>2091</v>
      </c>
      <c r="AM19" s="2" t="s">
        <v>1967</v>
      </c>
      <c r="AP19" t="s">
        <v>1956</v>
      </c>
      <c r="AQ19" t="s">
        <v>1390</v>
      </c>
    </row>
    <row r="20" spans="1:46">
      <c r="A20">
        <v>29</v>
      </c>
      <c r="B20" s="98">
        <v>44368.594895833303</v>
      </c>
      <c r="C20" s="98">
        <v>44368.6101388889</v>
      </c>
      <c r="D20" t="s">
        <v>1946</v>
      </c>
      <c r="F20" t="s">
        <v>1947</v>
      </c>
      <c r="G20" s="2" t="s">
        <v>2005</v>
      </c>
      <c r="H20" s="2" t="str">
        <f>CONCATENATE('ENCUESTAS JUN-2021'!$K20,'ENCUESTAS JUN-2021'!$L20,'ENCUESTAS JUN-2021'!$M20,'ENCUESTAS JUN-2021'!$N20,'ENCUESTAS JUN-2021'!$O20,'ENCUESTAS JUN-2021'!$P20,'ENCUESTAS JUN-2021'!$Q20,'ENCUESTAS JUN-2021'!$R20,'ENCUESTAS JUN-2021'!$S20,'ENCUESTAS JUN-2021'!$T20,'ENCUESTAS JUN-2021'!$U20,'ENCUESTAS JUN-2021'!$V20,'ENCUESTAS JUN-2021'!$W20,'ENCUESTAS JUN-2021'!$X20,'ENCUESTAS JUN-2021'!$Y20,'ENCUESTAS JUN-2021'!$Z20,'ENCUESTAS JUN-2021'!$AA20,'ENCUESTAS JUN-2021'!$AB20,'ENCUESTAS JUN-2021'!$AC20,'ENCUESTAS JUN-2021'!$AD20,'ENCUESTAS JUN-2021'!$AE20,'ENCUESTAS JUN-2021'!$AF20)</f>
        <v>Universität Ulm (D ULM 01)</v>
      </c>
      <c r="I20" s="129" t="s">
        <v>1836</v>
      </c>
      <c r="J20" s="137" t="s">
        <v>1838</v>
      </c>
      <c r="R20" t="s">
        <v>2092</v>
      </c>
      <c r="AG20" t="s">
        <v>2093</v>
      </c>
      <c r="AH20" t="s">
        <v>2094</v>
      </c>
      <c r="AI20" t="s">
        <v>1841</v>
      </c>
      <c r="AJ20" t="s">
        <v>2094</v>
      </c>
      <c r="AK20" t="s">
        <v>2095</v>
      </c>
      <c r="AL20" t="s">
        <v>1841</v>
      </c>
      <c r="AM20" s="2" t="s">
        <v>1954</v>
      </c>
      <c r="AO20" s="99" t="s">
        <v>2096</v>
      </c>
      <c r="AP20" t="s">
        <v>1390</v>
      </c>
      <c r="AQ20" t="s">
        <v>1956</v>
      </c>
      <c r="AR20" t="s">
        <v>1957</v>
      </c>
      <c r="AS20" t="s">
        <v>2097</v>
      </c>
      <c r="AT20" t="s">
        <v>2098</v>
      </c>
    </row>
    <row r="21" spans="1:46">
      <c r="A21">
        <v>30</v>
      </c>
      <c r="B21" s="98">
        <v>44369.381493055596</v>
      </c>
      <c r="C21" s="98">
        <v>44369.385520833297</v>
      </c>
      <c r="D21" t="s">
        <v>1946</v>
      </c>
      <c r="F21" t="s">
        <v>1947</v>
      </c>
      <c r="G21" s="2" t="s">
        <v>1960</v>
      </c>
      <c r="H21" s="2" t="str">
        <f>CONCATENATE('ENCUESTAS JUN-2021'!$K21,'ENCUESTAS JUN-2021'!$L21,'ENCUESTAS JUN-2021'!$M21,'ENCUESTAS JUN-2021'!$N21,'ENCUESTAS JUN-2021'!$O21,'ENCUESTAS JUN-2021'!$P21,'ENCUESTAS JUN-2021'!$Q21,'ENCUESTAS JUN-2021'!$R21,'ENCUESTAS JUN-2021'!$S21,'ENCUESTAS JUN-2021'!$T21,'ENCUESTAS JUN-2021'!$U21,'ENCUESTAS JUN-2021'!$V21,'ENCUESTAS JUN-2021'!$W21,'ENCUESTAS JUN-2021'!$X21,'ENCUESTAS JUN-2021'!$Y21,'ENCUESTAS JUN-2021'!$Z21,'ENCUESTAS JUN-2021'!$AA21,'ENCUESTAS JUN-2021'!$AB21,'ENCUESTAS JUN-2021'!$AC21,'ENCUESTAS JUN-2021'!$AD21,'ENCUESTAS JUN-2021'!$AE21,'ENCUESTAS JUN-2021'!$AF21)</f>
        <v>Université de Lorraine (F NANCY 43)</v>
      </c>
      <c r="I21" s="129" t="s">
        <v>694</v>
      </c>
      <c r="J21" s="137" t="s">
        <v>2099</v>
      </c>
      <c r="Q21" t="s">
        <v>2100</v>
      </c>
      <c r="AH21" t="s">
        <v>2101</v>
      </c>
      <c r="AI21" t="s">
        <v>2102</v>
      </c>
      <c r="AJ21" t="s">
        <v>2103</v>
      </c>
      <c r="AK21" t="s">
        <v>2104</v>
      </c>
      <c r="AL21" t="s">
        <v>2105</v>
      </c>
      <c r="AM21" s="2" t="s">
        <v>1967</v>
      </c>
      <c r="AP21" t="s">
        <v>1390</v>
      </c>
      <c r="AQ21" t="s">
        <v>1390</v>
      </c>
      <c r="AT21" t="s">
        <v>2106</v>
      </c>
    </row>
    <row r="22" spans="1:46">
      <c r="A22">
        <v>31</v>
      </c>
      <c r="B22" s="98">
        <v>44369.479560185202</v>
      </c>
      <c r="C22" s="98">
        <v>44369.490949074097</v>
      </c>
      <c r="D22" t="s">
        <v>1946</v>
      </c>
      <c r="F22" t="s">
        <v>2107</v>
      </c>
      <c r="G22" s="2" t="s">
        <v>2108</v>
      </c>
      <c r="H22" s="2" t="str">
        <f>CONCATENATE('ENCUESTAS JUN-2021'!$K22,'ENCUESTAS JUN-2021'!$L22,'ENCUESTAS JUN-2021'!$M22,'ENCUESTAS JUN-2021'!$N22,'ENCUESTAS JUN-2021'!$O22,'ENCUESTAS JUN-2021'!$P22,'ENCUESTAS JUN-2021'!$Q22,'ENCUESTAS JUN-2021'!$R22,'ENCUESTAS JUN-2021'!$S22,'ENCUESTAS JUN-2021'!$T22,'ENCUESTAS JUN-2021'!$U22,'ENCUESTAS JUN-2021'!$V22,'ENCUESTAS JUN-2021'!$W22,'ENCUESTAS JUN-2021'!$X22,'ENCUESTAS JUN-2021'!$Y22,'ENCUESTAS JUN-2021'!$Z22,'ENCUESTAS JUN-2021'!$AA22,'ENCUESTAS JUN-2021'!$AB22,'ENCUESTAS JUN-2021'!$AC22,'ENCUESTAS JUN-2021'!$AD22,'ENCUESTAS JUN-2021'!$AE22,'ENCUESTAS JUN-2021'!$AF22)</f>
        <v>Technical University of Denmark (DK LYNGBY 01)</v>
      </c>
      <c r="I22" s="129" t="s">
        <v>2109</v>
      </c>
      <c r="J22" s="137" t="s">
        <v>2110</v>
      </c>
      <c r="O22" t="s">
        <v>2111</v>
      </c>
      <c r="AH22" t="s">
        <v>455</v>
      </c>
      <c r="AI22" t="s">
        <v>454</v>
      </c>
      <c r="AJ22" t="s">
        <v>455</v>
      </c>
      <c r="AK22" t="s">
        <v>2112</v>
      </c>
      <c r="AL22" t="s">
        <v>454</v>
      </c>
      <c r="AM22" s="2" t="s">
        <v>2056</v>
      </c>
      <c r="AN22" t="s">
        <v>2113</v>
      </c>
      <c r="AP22" t="s">
        <v>1390</v>
      </c>
      <c r="AQ22" t="s">
        <v>1956</v>
      </c>
      <c r="AR22" t="s">
        <v>2065</v>
      </c>
      <c r="AS22" t="s">
        <v>2114</v>
      </c>
      <c r="AT22" t="s">
        <v>2115</v>
      </c>
    </row>
    <row r="23" spans="1:46">
      <c r="A23">
        <v>32</v>
      </c>
      <c r="B23" s="98">
        <v>44369.518229166701</v>
      </c>
      <c r="C23" s="98">
        <v>44369.541342592602</v>
      </c>
      <c r="D23" t="s">
        <v>1946</v>
      </c>
      <c r="F23" t="s">
        <v>1947</v>
      </c>
      <c r="G23" s="2" t="s">
        <v>1948</v>
      </c>
      <c r="H23" s="2" t="str">
        <f>CONCATENATE('ENCUESTAS JUN-2021'!$K23,'ENCUESTAS JUN-2021'!$L23,'ENCUESTAS JUN-2021'!$M23,'ENCUESTAS JUN-2021'!$N23,'ENCUESTAS JUN-2021'!$O23,'ENCUESTAS JUN-2021'!$P23,'ENCUESTAS JUN-2021'!$Q23,'ENCUESTAS JUN-2021'!$R23,'ENCUESTAS JUN-2021'!$S23,'ENCUESTAS JUN-2021'!$T23,'ENCUESTAS JUN-2021'!$U23,'ENCUESTAS JUN-2021'!$V23,'ENCUESTAS JUN-2021'!$W23,'ENCUESTAS JUN-2021'!$X23,'ENCUESTAS JUN-2021'!$Y23,'ENCUESTAS JUN-2021'!$Z23,'ENCUESTAS JUN-2021'!$AA23,'ENCUESTAS JUN-2021'!$AB23,'ENCUESTAS JUN-2021'!$AC23,'ENCUESTAS JUN-2021'!$AD23,'ENCUESTAS JUN-2021'!$AE23,'ENCUESTAS JUN-2021'!$AF23)</f>
        <v>Aalto University (School of Electrical Engineering) (SF ESPOO 12)</v>
      </c>
      <c r="I23" s="129" t="s">
        <v>1298</v>
      </c>
      <c r="J23" s="137" t="s">
        <v>2116</v>
      </c>
      <c r="P23" t="s">
        <v>2117</v>
      </c>
      <c r="AH23" t="s">
        <v>2118</v>
      </c>
      <c r="AI23" t="s">
        <v>2119</v>
      </c>
      <c r="AJ23" t="s">
        <v>2120</v>
      </c>
      <c r="AK23" t="s">
        <v>2121</v>
      </c>
      <c r="AL23" t="s">
        <v>2122</v>
      </c>
      <c r="AM23" s="2" t="s">
        <v>1967</v>
      </c>
      <c r="AP23" t="s">
        <v>1956</v>
      </c>
      <c r="AQ23" t="s">
        <v>1390</v>
      </c>
    </row>
    <row r="24" spans="1:46">
      <c r="A24">
        <v>33</v>
      </c>
      <c r="B24" s="98">
        <v>44369.563020833302</v>
      </c>
      <c r="C24" s="98">
        <v>44369.567650463003</v>
      </c>
      <c r="D24" t="s">
        <v>1946</v>
      </c>
      <c r="F24" t="s">
        <v>1947</v>
      </c>
      <c r="G24" s="2" t="s">
        <v>2005</v>
      </c>
      <c r="H24" s="2" t="str">
        <f>CONCATENATE('ENCUESTAS JUN-2021'!$K24,'ENCUESTAS JUN-2021'!$L24,'ENCUESTAS JUN-2021'!$M24,'ENCUESTAS JUN-2021'!$N24,'ENCUESTAS JUN-2021'!$O24,'ENCUESTAS JUN-2021'!$P24,'ENCUESTAS JUN-2021'!$Q24,'ENCUESTAS JUN-2021'!$R24,'ENCUESTAS JUN-2021'!$S24,'ENCUESTAS JUN-2021'!$T24,'ENCUESTAS JUN-2021'!$U24,'ENCUESTAS JUN-2021'!$V24,'ENCUESTAS JUN-2021'!$W24,'ENCUESTAS JUN-2021'!$X24,'ENCUESTAS JUN-2021'!$Y24,'ENCUESTAS JUN-2021'!$Z24,'ENCUESTAS JUN-2021'!$AA24,'ENCUESTAS JUN-2021'!$AB24,'ENCUESTAS JUN-2021'!$AC24,'ENCUESTAS JUN-2021'!$AD24,'ENCUESTAS JUN-2021'!$AE24,'ENCUESTAS JUN-2021'!$AF24)</f>
        <v>Universität Stuttgart (D STUTTGA 01)</v>
      </c>
      <c r="I24" s="129" t="s">
        <v>422</v>
      </c>
      <c r="J24" s="137" t="s">
        <v>2123</v>
      </c>
      <c r="R24" t="s">
        <v>2124</v>
      </c>
      <c r="AH24" t="s">
        <v>2125</v>
      </c>
      <c r="AI24" t="s">
        <v>2126</v>
      </c>
      <c r="AJ24" t="s">
        <v>2125</v>
      </c>
      <c r="AK24" t="s">
        <v>2127</v>
      </c>
      <c r="AL24" t="s">
        <v>2126</v>
      </c>
      <c r="AM24" s="2" t="s">
        <v>2056</v>
      </c>
      <c r="AN24" t="s">
        <v>2128</v>
      </c>
      <c r="AP24" t="s">
        <v>1956</v>
      </c>
      <c r="AQ24" t="s">
        <v>1390</v>
      </c>
    </row>
    <row r="25" spans="1:46">
      <c r="A25">
        <v>34</v>
      </c>
      <c r="B25" s="98">
        <v>44369.683645833298</v>
      </c>
      <c r="C25" s="98">
        <v>44369.687106481499</v>
      </c>
      <c r="D25" t="s">
        <v>1946</v>
      </c>
      <c r="F25" t="s">
        <v>1947</v>
      </c>
      <c r="G25" s="2" t="s">
        <v>1960</v>
      </c>
      <c r="H25" s="2" t="str">
        <f>CONCATENATE('ENCUESTAS JUN-2021'!$K25,'ENCUESTAS JUN-2021'!$L25,'ENCUESTAS JUN-2021'!$M25,'ENCUESTAS JUN-2021'!$N25,'ENCUESTAS JUN-2021'!$O25,'ENCUESTAS JUN-2021'!$P25,'ENCUESTAS JUN-2021'!$Q25,'ENCUESTAS JUN-2021'!$R25,'ENCUESTAS JUN-2021'!$S25,'ENCUESTAS JUN-2021'!$T25,'ENCUESTAS JUN-2021'!$U25,'ENCUESTAS JUN-2021'!$V25,'ENCUESTAS JUN-2021'!$W25,'ENCUESTAS JUN-2021'!$X25,'ENCUESTAS JUN-2021'!$Y25,'ENCUESTAS JUN-2021'!$Z25,'ENCUESTAS JUN-2021'!$AA25,'ENCUESTAS JUN-2021'!$AB25,'ENCUESTAS JUN-2021'!$AC25,'ENCUESTAS JUN-2021'!$AD25,'ENCUESTAS JUN-2021'!$AE25,'ENCUESTAS JUN-2021'!$AF25)</f>
        <v>Telecom Sud Paris (F EVRY 11)</v>
      </c>
      <c r="I25" s="129" t="s">
        <v>560</v>
      </c>
      <c r="J25" s="137" t="s">
        <v>2129</v>
      </c>
      <c r="Q25" t="s">
        <v>2130</v>
      </c>
      <c r="AG25" t="s">
        <v>2131</v>
      </c>
      <c r="AH25" t="s">
        <v>2132</v>
      </c>
      <c r="AI25" t="s">
        <v>2133</v>
      </c>
      <c r="AJ25" t="s">
        <v>2134</v>
      </c>
      <c r="AK25" t="s">
        <v>2135</v>
      </c>
      <c r="AL25" t="s">
        <v>2136</v>
      </c>
      <c r="AM25" s="2" t="s">
        <v>2056</v>
      </c>
      <c r="AN25" s="99" t="s">
        <v>2137</v>
      </c>
      <c r="AP25" t="s">
        <v>1956</v>
      </c>
      <c r="AQ25" t="s">
        <v>1390</v>
      </c>
      <c r="AT25" t="s">
        <v>2138</v>
      </c>
    </row>
    <row r="26" spans="1:46">
      <c r="A26">
        <v>35</v>
      </c>
      <c r="B26" s="98">
        <v>44370.486747685201</v>
      </c>
      <c r="C26" s="98">
        <v>44370.506469907399</v>
      </c>
      <c r="D26" t="s">
        <v>1946</v>
      </c>
      <c r="F26" t="s">
        <v>2107</v>
      </c>
      <c r="G26" s="2" t="s">
        <v>1948</v>
      </c>
      <c r="H26" s="2" t="str">
        <f>CONCATENATE('ENCUESTAS JUN-2021'!$K26,'ENCUESTAS JUN-2021'!$L26,'ENCUESTAS JUN-2021'!$M26,'ENCUESTAS JUN-2021'!$N26,'ENCUESTAS JUN-2021'!$O26,'ENCUESTAS JUN-2021'!$P26,'ENCUESTAS JUN-2021'!$Q26,'ENCUESTAS JUN-2021'!$R26,'ENCUESTAS JUN-2021'!$S26,'ENCUESTAS JUN-2021'!$T26,'ENCUESTAS JUN-2021'!$U26,'ENCUESTAS JUN-2021'!$V26,'ENCUESTAS JUN-2021'!$W26,'ENCUESTAS JUN-2021'!$X26,'ENCUESTAS JUN-2021'!$Y26,'ENCUESTAS JUN-2021'!$Z26,'ENCUESTAS JUN-2021'!$AA26,'ENCUESTAS JUN-2021'!$AB26,'ENCUESTAS JUN-2021'!$AC26,'ENCUESTAS JUN-2021'!$AD26,'ENCUESTAS JUN-2021'!$AE26,'ENCUESTAS JUN-2021'!$AF26)</f>
        <v>Tampere University (SF TAMPERE 17)</v>
      </c>
      <c r="I26" s="129" t="s">
        <v>2139</v>
      </c>
      <c r="J26" s="137" t="s">
        <v>2140</v>
      </c>
      <c r="P26" t="s">
        <v>2141</v>
      </c>
      <c r="AH26" t="s">
        <v>2142</v>
      </c>
      <c r="AI26" t="s">
        <v>2143</v>
      </c>
      <c r="AJ26" t="s">
        <v>2144</v>
      </c>
      <c r="AK26" t="s">
        <v>2145</v>
      </c>
      <c r="AL26" t="s">
        <v>2146</v>
      </c>
      <c r="AM26" s="2" t="s">
        <v>1967</v>
      </c>
      <c r="AP26" t="s">
        <v>1390</v>
      </c>
      <c r="AQ26" t="s">
        <v>1390</v>
      </c>
      <c r="AT26" t="s">
        <v>2147</v>
      </c>
    </row>
    <row r="27" spans="1:46">
      <c r="A27">
        <v>36</v>
      </c>
      <c r="B27" s="98">
        <v>44370.685543981497</v>
      </c>
      <c r="C27" s="98">
        <v>44370.702754629601</v>
      </c>
      <c r="D27" t="s">
        <v>1946</v>
      </c>
      <c r="F27" t="s">
        <v>1947</v>
      </c>
      <c r="G27" s="2" t="s">
        <v>1960</v>
      </c>
      <c r="H27" s="2" t="str">
        <f>CONCATENATE('ENCUESTAS JUN-2021'!$K27,'ENCUESTAS JUN-2021'!$L27,'ENCUESTAS JUN-2021'!$M27,'ENCUESTAS JUN-2021'!$N27,'ENCUESTAS JUN-2021'!$O27,'ENCUESTAS JUN-2021'!$P27,'ENCUESTAS JUN-2021'!$Q27,'ENCUESTAS JUN-2021'!$R27,'ENCUESTAS JUN-2021'!$S27,'ENCUESTAS JUN-2021'!$T27,'ENCUESTAS JUN-2021'!$U27,'ENCUESTAS JUN-2021'!$V27,'ENCUESTAS JUN-2021'!$W27,'ENCUESTAS JUN-2021'!$X27,'ENCUESTAS JUN-2021'!$Y27,'ENCUESTAS JUN-2021'!$Z27,'ENCUESTAS JUN-2021'!$AA27,'ENCUESTAS JUN-2021'!$AB27,'ENCUESTAS JUN-2021'!$AC27,'ENCUESTAS JUN-2021'!$AD27,'ENCUESTAS JUN-2021'!$AE27,'ENCUESTAS JUN-2021'!$AF27)</f>
        <v>École Nationale Supérieure d'Ingénieurs de Caen ENSICAEN  (F CAEN 05)</v>
      </c>
      <c r="I27" s="129" t="s">
        <v>525</v>
      </c>
      <c r="J27" s="137" t="s">
        <v>2148</v>
      </c>
      <c r="Q27" t="s">
        <v>2149</v>
      </c>
      <c r="AG27" t="s">
        <v>2148</v>
      </c>
      <c r="AH27" t="s">
        <v>2150</v>
      </c>
      <c r="AI27" t="s">
        <v>2151</v>
      </c>
      <c r="AJ27" t="s">
        <v>2152</v>
      </c>
      <c r="AK27" t="s">
        <v>2153</v>
      </c>
      <c r="AL27" t="s">
        <v>2154</v>
      </c>
      <c r="AM27" s="2" t="s">
        <v>2056</v>
      </c>
      <c r="AN27" t="s">
        <v>2155</v>
      </c>
      <c r="AP27" t="s">
        <v>1390</v>
      </c>
      <c r="AQ27" t="s">
        <v>1956</v>
      </c>
      <c r="AR27" t="s">
        <v>2065</v>
      </c>
      <c r="AS27" t="s">
        <v>2156</v>
      </c>
    </row>
    <row r="28" spans="1:46">
      <c r="A28">
        <v>37</v>
      </c>
      <c r="B28" s="98">
        <v>44371.599849537</v>
      </c>
      <c r="C28" s="98">
        <v>44371.607037037</v>
      </c>
      <c r="D28" t="s">
        <v>1946</v>
      </c>
      <c r="F28" t="s">
        <v>1947</v>
      </c>
      <c r="G28" s="2" t="s">
        <v>1960</v>
      </c>
      <c r="H28" s="2" t="str">
        <f>CONCATENATE('ENCUESTAS JUN-2021'!$K28,'ENCUESTAS JUN-2021'!$L28,'ENCUESTAS JUN-2021'!$M28,'ENCUESTAS JUN-2021'!$N28,'ENCUESTAS JUN-2021'!$O28,'ENCUESTAS JUN-2021'!$P28,'ENCUESTAS JUN-2021'!$Q28,'ENCUESTAS JUN-2021'!$R28,'ENCUESTAS JUN-2021'!$S28,'ENCUESTAS JUN-2021'!$T28,'ENCUESTAS JUN-2021'!$U28,'ENCUESTAS JUN-2021'!$V28,'ENCUESTAS JUN-2021'!$W28,'ENCUESTAS JUN-2021'!$X28,'ENCUESTAS JUN-2021'!$Y28,'ENCUESTAS JUN-2021'!$Z28,'ENCUESTAS JUN-2021'!$AA28,'ENCUESTAS JUN-2021'!$AB28,'ENCUESTAS JUN-2021'!$AC28,'ENCUESTAS JUN-2021'!$AD28,'ENCUESTAS JUN-2021'!$AE28,'ENCUESTAS JUN-2021'!$AF28)</f>
        <v>Telecom Paris (F PARIS 083)</v>
      </c>
      <c r="I28" s="129" t="s">
        <v>773</v>
      </c>
      <c r="J28" s="137" t="s">
        <v>2157</v>
      </c>
      <c r="Q28" t="s">
        <v>2158</v>
      </c>
      <c r="AH28" t="s">
        <v>2159</v>
      </c>
      <c r="AI28" t="s">
        <v>2160</v>
      </c>
      <c r="AJ28" t="s">
        <v>2161</v>
      </c>
      <c r="AK28" t="s">
        <v>2162</v>
      </c>
      <c r="AL28" t="s">
        <v>2163</v>
      </c>
      <c r="AM28" s="2" t="s">
        <v>2056</v>
      </c>
      <c r="AN28" t="s">
        <v>2164</v>
      </c>
      <c r="AP28" t="s">
        <v>1390</v>
      </c>
      <c r="AQ28" t="s">
        <v>1390</v>
      </c>
    </row>
    <row r="29" spans="1:46">
      <c r="A29">
        <v>38</v>
      </c>
      <c r="B29" s="98">
        <v>44371.669953703698</v>
      </c>
      <c r="C29" s="98">
        <v>44371.674039351798</v>
      </c>
      <c r="D29" t="s">
        <v>1946</v>
      </c>
      <c r="F29" t="s">
        <v>1947</v>
      </c>
      <c r="G29" s="2" t="s">
        <v>1960</v>
      </c>
      <c r="H29" s="2" t="str">
        <f>CONCATENATE('ENCUESTAS JUN-2021'!$K29,'ENCUESTAS JUN-2021'!$L29,'ENCUESTAS JUN-2021'!$M29,'ENCUESTAS JUN-2021'!$N29,'ENCUESTAS JUN-2021'!$O29,'ENCUESTAS JUN-2021'!$P29,'ENCUESTAS JUN-2021'!$Q29,'ENCUESTAS JUN-2021'!$R29,'ENCUESTAS JUN-2021'!$S29,'ENCUESTAS JUN-2021'!$T29,'ENCUESTAS JUN-2021'!$U29,'ENCUESTAS JUN-2021'!$V29,'ENCUESTAS JUN-2021'!$W29,'ENCUESTAS JUN-2021'!$X29,'ENCUESTAS JUN-2021'!$Y29,'ENCUESTAS JUN-2021'!$Z29,'ENCUESTAS JUN-2021'!$AA29,'ENCUESTAS JUN-2021'!$AB29,'ENCUESTAS JUN-2021'!$AC29,'ENCUESTAS JUN-2021'!$AD29,'ENCUESTAS JUN-2021'!$AE29,'ENCUESTAS JUN-2021'!$AF29)</f>
        <v>Sorbonne Université (F PARIS 06)</v>
      </c>
      <c r="I29" s="129" t="s">
        <v>794</v>
      </c>
      <c r="J29" s="137" t="s">
        <v>2165</v>
      </c>
      <c r="Q29" t="s">
        <v>2166</v>
      </c>
      <c r="AG29" t="s">
        <v>2167</v>
      </c>
      <c r="AH29" t="s">
        <v>2168</v>
      </c>
      <c r="AI29" t="s">
        <v>2169</v>
      </c>
      <c r="AJ29" t="s">
        <v>2170</v>
      </c>
      <c r="AK29" t="s">
        <v>2171</v>
      </c>
      <c r="AL29" t="s">
        <v>2172</v>
      </c>
      <c r="AM29" s="2" t="s">
        <v>1967</v>
      </c>
      <c r="AP29" t="s">
        <v>1390</v>
      </c>
      <c r="AQ29" t="s">
        <v>1390</v>
      </c>
    </row>
    <row r="30" spans="1:46">
      <c r="A30">
        <v>39</v>
      </c>
      <c r="B30" s="98">
        <v>44371.765300925901</v>
      </c>
      <c r="C30" s="98">
        <v>44371.780381944402</v>
      </c>
      <c r="D30" t="s">
        <v>1946</v>
      </c>
      <c r="F30" t="s">
        <v>1947</v>
      </c>
      <c r="G30" s="2" t="s">
        <v>1988</v>
      </c>
      <c r="H30" s="2" t="str">
        <f>CONCATENATE('ENCUESTAS JUN-2021'!$K30,'ENCUESTAS JUN-2021'!$L30,'ENCUESTAS JUN-2021'!$M30,'ENCUESTAS JUN-2021'!$N30,'ENCUESTAS JUN-2021'!$O30,'ENCUESTAS JUN-2021'!$P30,'ENCUESTAS JUN-2021'!$Q30,'ENCUESTAS JUN-2021'!$R30,'ENCUESTAS JUN-2021'!$S30,'ENCUESTAS JUN-2021'!$T30,'ENCUESTAS JUN-2021'!$U30,'ENCUESTAS JUN-2021'!$V30,'ENCUESTAS JUN-2021'!$W30,'ENCUESTAS JUN-2021'!$X30,'ENCUESTAS JUN-2021'!$Y30,'ENCUESTAS JUN-2021'!$Z30,'ENCUESTAS JUN-2021'!$AA30,'ENCUESTAS JUN-2021'!$AB30,'ENCUESTAS JUN-2021'!$AC30,'ENCUESTAS JUN-2021'!$AD30,'ENCUESTAS JUN-2021'!$AE30,'ENCUESTAS JUN-2021'!$AF30)</f>
        <v>Yildiz Technical University (TR ISTANBU 07)</v>
      </c>
      <c r="I30" s="129" t="s">
        <v>1358</v>
      </c>
      <c r="J30" s="137" t="s">
        <v>2173</v>
      </c>
      <c r="AE30" t="s">
        <v>2174</v>
      </c>
      <c r="AH30" t="s">
        <v>2175</v>
      </c>
      <c r="AI30" t="s">
        <v>2176</v>
      </c>
      <c r="AJ30" t="s">
        <v>2177</v>
      </c>
      <c r="AK30" t="s">
        <v>2178</v>
      </c>
      <c r="AL30" t="s">
        <v>2179</v>
      </c>
      <c r="AM30" s="2" t="s">
        <v>1967</v>
      </c>
      <c r="AP30" t="s">
        <v>1390</v>
      </c>
      <c r="AQ30" t="s">
        <v>1956</v>
      </c>
      <c r="AR30" t="s">
        <v>2180</v>
      </c>
      <c r="AS30" t="s">
        <v>2181</v>
      </c>
      <c r="AT30" t="s">
        <v>2182</v>
      </c>
    </row>
    <row r="31" spans="1:46">
      <c r="A31">
        <v>40</v>
      </c>
      <c r="B31" s="98">
        <v>44376.713726851798</v>
      </c>
      <c r="C31" s="98">
        <v>44376.720150462999</v>
      </c>
      <c r="D31" t="s">
        <v>1946</v>
      </c>
      <c r="F31" t="s">
        <v>1947</v>
      </c>
      <c r="G31" s="2" t="s">
        <v>2084</v>
      </c>
      <c r="H31" s="2" t="str">
        <f>CONCATENATE('ENCUESTAS JUN-2021'!$K31,'ENCUESTAS JUN-2021'!$L31,'ENCUESTAS JUN-2021'!$M31,'ENCUESTAS JUN-2021'!$N31,'ENCUESTAS JUN-2021'!$O31,'ENCUESTAS JUN-2021'!$P31,'ENCUESTAS JUN-2021'!$Q31,'ENCUESTAS JUN-2021'!$R31,'ENCUESTAS JUN-2021'!$S31,'ENCUESTAS JUN-2021'!$T31,'ENCUESTAS JUN-2021'!$U31,'ENCUESTAS JUN-2021'!$V31,'ENCUESTAS JUN-2021'!$W31,'ENCUESTAS JUN-2021'!$X31,'ENCUESTAS JUN-2021'!$Y31,'ENCUESTAS JUN-2021'!$Z31,'ENCUESTAS JUN-2021'!$AA31,'ENCUESTAS JUN-2021'!$AB31,'ENCUESTAS JUN-2021'!$AC31,'ENCUESTAS JUN-2021'!$AD31,'ENCUESTAS JUN-2021'!$AE31,'ENCUESTAS JUN-2021'!$AF31)</f>
        <v>Politecnico di Milano (I MILANO 02)</v>
      </c>
      <c r="I31" s="129" t="s">
        <v>913</v>
      </c>
      <c r="J31" s="137" t="s">
        <v>2183</v>
      </c>
      <c r="U31" t="s">
        <v>2184</v>
      </c>
      <c r="AH31" t="s">
        <v>2185</v>
      </c>
      <c r="AI31" t="s">
        <v>2186</v>
      </c>
      <c r="AJ31" t="s">
        <v>922</v>
      </c>
      <c r="AK31" t="s">
        <v>2187</v>
      </c>
      <c r="AL31" t="s">
        <v>2186</v>
      </c>
      <c r="AM31" s="2" t="s">
        <v>1967</v>
      </c>
      <c r="AP31" t="s">
        <v>1390</v>
      </c>
      <c r="AQ31" t="s">
        <v>1390</v>
      </c>
      <c r="AT31" t="s">
        <v>2188</v>
      </c>
    </row>
    <row r="32" spans="1:46">
      <c r="A32">
        <v>41</v>
      </c>
      <c r="B32" s="98">
        <v>44377.640879629602</v>
      </c>
      <c r="C32" s="98">
        <v>44377.707743055602</v>
      </c>
      <c r="D32" t="s">
        <v>1946</v>
      </c>
      <c r="F32" t="s">
        <v>1947</v>
      </c>
      <c r="G32" s="2" t="s">
        <v>1960</v>
      </c>
      <c r="H32" s="2" t="str">
        <f>CONCATENATE('ENCUESTAS JUN-2021'!$K32,'ENCUESTAS JUN-2021'!$L32,'ENCUESTAS JUN-2021'!$M32,'ENCUESTAS JUN-2021'!$N32,'ENCUESTAS JUN-2021'!$O32,'ENCUESTAS JUN-2021'!$P32,'ENCUESTAS JUN-2021'!$Q32,'ENCUESTAS JUN-2021'!$R32,'ENCUESTAS JUN-2021'!$S32,'ENCUESTAS JUN-2021'!$T32,'ENCUESTAS JUN-2021'!$U32,'ENCUESTAS JUN-2021'!$V32,'ENCUESTAS JUN-2021'!$W32,'ENCUESTAS JUN-2021'!$X32,'ENCUESTAS JUN-2021'!$Y32,'ENCUESTAS JUN-2021'!$Z32,'ENCUESTAS JUN-2021'!$AA32,'ENCUESTAS JUN-2021'!$AB32,'ENCUESTAS JUN-2021'!$AC32,'ENCUESTAS JUN-2021'!$AD32,'ENCUESTAS JUN-2021'!$AE32,'ENCUESTAS JUN-2021'!$AF32)</f>
        <v>Central Lille (F LILLE 14)</v>
      </c>
      <c r="I32" s="129" t="s">
        <v>633</v>
      </c>
      <c r="J32" s="137" t="s">
        <v>2189</v>
      </c>
      <c r="Q32" t="s">
        <v>2190</v>
      </c>
      <c r="AH32" t="s">
        <v>2191</v>
      </c>
      <c r="AI32" t="s">
        <v>2192</v>
      </c>
      <c r="AJ32" t="s">
        <v>2193</v>
      </c>
      <c r="AK32" t="s">
        <v>2194</v>
      </c>
      <c r="AL32" t="s">
        <v>2192</v>
      </c>
      <c r="AM32" s="2" t="s">
        <v>1967</v>
      </c>
      <c r="AP32" t="s">
        <v>1390</v>
      </c>
      <c r="AQ32" t="s">
        <v>1956</v>
      </c>
      <c r="AR32" t="s">
        <v>2195</v>
      </c>
      <c r="AS32" t="s">
        <v>2196</v>
      </c>
    </row>
    <row r="33" spans="1:46">
      <c r="A33">
        <v>42</v>
      </c>
      <c r="B33" s="98">
        <v>44378.434791666703</v>
      </c>
      <c r="C33" s="98">
        <v>44378.448252314804</v>
      </c>
      <c r="D33" t="s">
        <v>1946</v>
      </c>
      <c r="F33" t="s">
        <v>1947</v>
      </c>
      <c r="G33" s="2" t="s">
        <v>1988</v>
      </c>
      <c r="H33" s="2" t="str">
        <f>CONCATENATE('ENCUESTAS JUN-2021'!$K33,'ENCUESTAS JUN-2021'!$L33,'ENCUESTAS JUN-2021'!$M33,'ENCUESTAS JUN-2021'!$N33,'ENCUESTAS JUN-2021'!$O33,'ENCUESTAS JUN-2021'!$P33,'ENCUESTAS JUN-2021'!$Q33,'ENCUESTAS JUN-2021'!$R33,'ENCUESTAS JUN-2021'!$S33,'ENCUESTAS JUN-2021'!$T33,'ENCUESTAS JUN-2021'!$U33,'ENCUESTAS JUN-2021'!$V33,'ENCUESTAS JUN-2021'!$W33,'ENCUESTAS JUN-2021'!$X33,'ENCUESTAS JUN-2021'!$Y33,'ENCUESTAS JUN-2021'!$Z33,'ENCUESTAS JUN-2021'!$AA33,'ENCUESTAS JUN-2021'!$AB33,'ENCUESTAS JUN-2021'!$AC33,'ENCUESTAS JUN-2021'!$AD33,'ENCUESTAS JUN-2021'!$AE33,'ENCUESTAS JUN-2021'!$AF33)</f>
        <v>Marmara Üniversitesi (TR ISTANBU 05)</v>
      </c>
      <c r="I33" s="129" t="s">
        <v>1352</v>
      </c>
      <c r="J33" s="137" t="s">
        <v>2197</v>
      </c>
      <c r="AE33" t="s">
        <v>2198</v>
      </c>
      <c r="AH33" t="s">
        <v>2199</v>
      </c>
      <c r="AI33" t="s">
        <v>2200</v>
      </c>
      <c r="AJ33" t="s">
        <v>2201</v>
      </c>
      <c r="AK33" t="s">
        <v>2202</v>
      </c>
      <c r="AL33" t="s">
        <v>2203</v>
      </c>
      <c r="AM33" s="2" t="s">
        <v>1967</v>
      </c>
      <c r="AP33" t="s">
        <v>1390</v>
      </c>
      <c r="AQ33" t="s">
        <v>1390</v>
      </c>
      <c r="AT33" t="s">
        <v>2204</v>
      </c>
    </row>
    <row r="34" spans="1:46">
      <c r="A34">
        <v>43</v>
      </c>
      <c r="B34" s="98">
        <v>44383.584803240701</v>
      </c>
      <c r="C34" s="98">
        <v>44383.586111111101</v>
      </c>
      <c r="D34" t="s">
        <v>1946</v>
      </c>
      <c r="F34" t="s">
        <v>1947</v>
      </c>
      <c r="G34" s="2" t="s">
        <v>2084</v>
      </c>
      <c r="H34" s="2" t="str">
        <f>CONCATENATE('ENCUESTAS JUN-2021'!$K34,'ENCUESTAS JUN-2021'!$L34,'ENCUESTAS JUN-2021'!$M34,'ENCUESTAS JUN-2021'!$N34,'ENCUESTAS JUN-2021'!$O34,'ENCUESTAS JUN-2021'!$P34,'ENCUESTAS JUN-2021'!$Q34,'ENCUESTAS JUN-2021'!$R34,'ENCUESTAS JUN-2021'!$S34,'ENCUESTAS JUN-2021'!$T34,'ENCUESTAS JUN-2021'!$U34,'ENCUESTAS JUN-2021'!$V34,'ENCUESTAS JUN-2021'!$W34,'ENCUESTAS JUN-2021'!$X34,'ENCUESTAS JUN-2021'!$Y34,'ENCUESTAS JUN-2021'!$Z34,'ENCUESTAS JUN-2021'!$AA34,'ENCUESTAS JUN-2021'!$AB34,'ENCUESTAS JUN-2021'!$AC34,'ENCUESTAS JUN-2021'!$AD34,'ENCUESTAS JUN-2021'!$AE34,'ENCUESTAS JUN-2021'!$AF34)</f>
        <v>Universitá degli Studi di Napoli Federico II (I NAPOLI 01)</v>
      </c>
      <c r="I34" s="129" t="s">
        <v>927</v>
      </c>
      <c r="J34" s="137" t="s">
        <v>2205</v>
      </c>
      <c r="U34" t="s">
        <v>2206</v>
      </c>
      <c r="AG34" t="s">
        <v>2207</v>
      </c>
      <c r="AH34" t="s">
        <v>2208</v>
      </c>
      <c r="AI34" t="s">
        <v>2209</v>
      </c>
      <c r="AJ34" t="s">
        <v>2210</v>
      </c>
      <c r="AK34" t="s">
        <v>2211</v>
      </c>
      <c r="AL34" t="s">
        <v>2212</v>
      </c>
      <c r="AM34" s="2" t="s">
        <v>1967</v>
      </c>
      <c r="AP34" t="s">
        <v>1390</v>
      </c>
      <c r="AQ34" t="s">
        <v>1390</v>
      </c>
    </row>
    <row r="35" spans="1:46">
      <c r="A35">
        <v>44</v>
      </c>
      <c r="B35" s="98">
        <v>44384.499513888899</v>
      </c>
      <c r="C35" s="98">
        <v>44384.502835648098</v>
      </c>
      <c r="D35" t="s">
        <v>1946</v>
      </c>
      <c r="F35" t="s">
        <v>1947</v>
      </c>
      <c r="G35" s="2" t="s">
        <v>2005</v>
      </c>
      <c r="H35" s="2" t="str">
        <f>CONCATENATE('ENCUESTAS JUN-2021'!$K35,'ENCUESTAS JUN-2021'!$L35,'ENCUESTAS JUN-2021'!$M35,'ENCUESTAS JUN-2021'!$N35,'ENCUESTAS JUN-2021'!$O35,'ENCUESTAS JUN-2021'!$P35,'ENCUESTAS JUN-2021'!$Q35,'ENCUESTAS JUN-2021'!$R35,'ENCUESTAS JUN-2021'!$S35,'ENCUESTAS JUN-2021'!$T35,'ENCUESTAS JUN-2021'!$U35,'ENCUESTAS JUN-2021'!$V35,'ENCUESTAS JUN-2021'!$W35,'ENCUESTAS JUN-2021'!$X35,'ENCUESTAS JUN-2021'!$Y35,'ENCUESTAS JUN-2021'!$Z35,'ENCUESTAS JUN-2021'!$AA35,'ENCUESTAS JUN-2021'!$AB35,'ENCUESTAS JUN-2021'!$AC35,'ENCUESTAS JUN-2021'!$AD35,'ENCUESTAS JUN-2021'!$AE35,'ENCUESTAS JUN-2021'!$AF35)</f>
        <v>Universität des Saarlandes (D SAARBRU 01)</v>
      </c>
      <c r="I35" s="129" t="s">
        <v>409</v>
      </c>
      <c r="J35" s="137" t="s">
        <v>2213</v>
      </c>
      <c r="R35" t="s">
        <v>2214</v>
      </c>
      <c r="AG35" t="s">
        <v>2215</v>
      </c>
      <c r="AH35" t="s">
        <v>2216</v>
      </c>
      <c r="AI35" t="s">
        <v>2217</v>
      </c>
      <c r="AJ35" t="s">
        <v>2218</v>
      </c>
      <c r="AK35" t="s">
        <v>2095</v>
      </c>
      <c r="AL35" t="s">
        <v>2217</v>
      </c>
      <c r="AM35" s="2" t="s">
        <v>1954</v>
      </c>
      <c r="AO35" t="s">
        <v>2219</v>
      </c>
      <c r="AP35" t="s">
        <v>1390</v>
      </c>
      <c r="AQ35" t="s">
        <v>1390</v>
      </c>
      <c r="AT35" t="s">
        <v>2220</v>
      </c>
    </row>
    <row r="36" spans="1:46">
      <c r="A36">
        <v>45</v>
      </c>
      <c r="B36" s="98">
        <v>44397.552743055603</v>
      </c>
      <c r="C36" s="98">
        <v>44397.555787037003</v>
      </c>
      <c r="D36" t="s">
        <v>1946</v>
      </c>
      <c r="F36" t="s">
        <v>1947</v>
      </c>
      <c r="G36" s="2" t="s">
        <v>2030</v>
      </c>
      <c r="H36" s="2" t="str">
        <f>CONCATENATE('ENCUESTAS JUN-2021'!$K36,'ENCUESTAS JUN-2021'!$L36,'ENCUESTAS JUN-2021'!$M36,'ENCUESTAS JUN-2021'!$N36,'ENCUESTAS JUN-2021'!$O36,'ENCUESTAS JUN-2021'!$P36,'ENCUESTAS JUN-2021'!$Q36,'ENCUESTAS JUN-2021'!$R36,'ENCUESTAS JUN-2021'!$S36,'ENCUESTAS JUN-2021'!$T36,'ENCUESTAS JUN-2021'!$U36,'ENCUESTAS JUN-2021'!$V36,'ENCUESTAS JUN-2021'!$W36,'ENCUESTAS JUN-2021'!$X36,'ENCUESTAS JUN-2021'!$Y36,'ENCUESTAS JUN-2021'!$Z36,'ENCUESTAS JUN-2021'!$AA36,'ENCUESTAS JUN-2021'!$AB36,'ENCUESTAS JUN-2021'!$AC36,'ENCUESTAS JUN-2021'!$AD36,'ENCUESTAS JUN-2021'!$AE36,'ENCUESTAS JUN-2021'!$AF36)</f>
        <v>Poznan University of Technology (PL POZNAN 02)</v>
      </c>
      <c r="I36" s="129" t="s">
        <v>1146</v>
      </c>
      <c r="J36" s="137" t="s">
        <v>2221</v>
      </c>
      <c r="Y36" t="s">
        <v>2222</v>
      </c>
      <c r="AG36" t="s">
        <v>1149</v>
      </c>
      <c r="AH36" t="s">
        <v>2223</v>
      </c>
      <c r="AI36" t="s">
        <v>1150</v>
      </c>
      <c r="AJ36" t="s">
        <v>2224</v>
      </c>
      <c r="AK36" t="s">
        <v>2225</v>
      </c>
      <c r="AL36" t="s">
        <v>2226</v>
      </c>
      <c r="AM36" s="2" t="s">
        <v>2056</v>
      </c>
      <c r="AN36" s="99" t="s">
        <v>1958</v>
      </c>
      <c r="AP36" t="s">
        <v>1956</v>
      </c>
      <c r="AQ36" t="s">
        <v>1956</v>
      </c>
      <c r="AR36" t="s">
        <v>2227</v>
      </c>
      <c r="AS36" t="s">
        <v>2228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O48"/>
  <sheetViews>
    <sheetView showGridLines="0" topLeftCell="K1" workbookViewId="0">
      <pane ySplit="2" topLeftCell="A44" activePane="bottomLeft" state="frozen"/>
      <selection pane="bottomLeft" activeCell="N44" sqref="N44"/>
    </sheetView>
  </sheetViews>
  <sheetFormatPr defaultColWidth="9.140625" defaultRowHeight="15"/>
  <cols>
    <col min="1" max="1" width="9.42578125" customWidth="1"/>
    <col min="2" max="2" width="46.42578125" customWidth="1"/>
    <col min="3" max="7" width="31.5703125" customWidth="1"/>
    <col min="8" max="8" width="5.140625" bestFit="1" customWidth="1"/>
    <col min="9" max="9" width="11.42578125" customWidth="1"/>
    <col min="10" max="10" width="42.85546875" customWidth="1"/>
    <col min="11" max="12" width="42.5703125" customWidth="1"/>
    <col min="13" max="13" width="63.85546875" bestFit="1" customWidth="1"/>
    <col min="14" max="14" width="9.85546875" customWidth="1"/>
    <col min="15" max="15" width="5.140625" bestFit="1" customWidth="1"/>
    <col min="16" max="256" width="11.42578125" customWidth="1"/>
  </cols>
  <sheetData>
    <row r="1" spans="1:15">
      <c r="A1" s="100" t="s">
        <v>2229</v>
      </c>
      <c r="J1" s="100" t="s">
        <v>2229</v>
      </c>
    </row>
    <row r="2" spans="1:15" s="97" customFormat="1" ht="60">
      <c r="A2" s="102" t="s">
        <v>1907</v>
      </c>
      <c r="B2" s="102" t="s">
        <v>1908</v>
      </c>
      <c r="C2" s="102" t="s">
        <v>1933</v>
      </c>
      <c r="D2" s="102" t="s">
        <v>1934</v>
      </c>
      <c r="E2" s="102" t="s">
        <v>1935</v>
      </c>
      <c r="F2" s="102" t="s">
        <v>1936</v>
      </c>
      <c r="G2" s="102" t="s">
        <v>1937</v>
      </c>
      <c r="H2" t="s">
        <v>2230</v>
      </c>
      <c r="I2" s="101"/>
      <c r="J2" s="102" t="s">
        <v>1938</v>
      </c>
      <c r="K2" s="102" t="s">
        <v>1939</v>
      </c>
      <c r="L2" s="102" t="s">
        <v>1940</v>
      </c>
      <c r="M2" s="102" t="s">
        <v>1908</v>
      </c>
      <c r="N2" s="102" t="s">
        <v>1907</v>
      </c>
      <c r="O2" s="97" t="s">
        <v>2230</v>
      </c>
    </row>
    <row r="3" spans="1:15">
      <c r="A3" s="2" t="s">
        <v>2012</v>
      </c>
      <c r="B3" s="2" t="s">
        <v>164</v>
      </c>
      <c r="C3" t="s">
        <v>2024</v>
      </c>
      <c r="D3" t="s">
        <v>2025</v>
      </c>
      <c r="E3" t="s">
        <v>2024</v>
      </c>
      <c r="F3" t="s">
        <v>2026</v>
      </c>
      <c r="G3" t="s">
        <v>2025</v>
      </c>
      <c r="H3">
        <v>1</v>
      </c>
      <c r="J3" s="2" t="s">
        <v>1967</v>
      </c>
      <c r="K3" t="s">
        <v>2231</v>
      </c>
      <c r="L3" t="s">
        <v>2231</v>
      </c>
      <c r="M3" s="2" t="s">
        <v>1298</v>
      </c>
      <c r="N3" s="2" t="s">
        <v>1948</v>
      </c>
      <c r="O3">
        <v>1</v>
      </c>
    </row>
    <row r="4" spans="1:15">
      <c r="A4" s="2"/>
      <c r="B4" s="2" t="s">
        <v>177</v>
      </c>
      <c r="C4" t="s">
        <v>2015</v>
      </c>
      <c r="D4" t="s">
        <v>2016</v>
      </c>
      <c r="E4" t="s">
        <v>2017</v>
      </c>
      <c r="F4" t="s">
        <v>2018</v>
      </c>
      <c r="G4" t="s">
        <v>2019</v>
      </c>
      <c r="H4">
        <v>1</v>
      </c>
      <c r="J4" s="2"/>
      <c r="M4" s="2" t="s">
        <v>633</v>
      </c>
      <c r="N4" s="2" t="s">
        <v>1960</v>
      </c>
      <c r="O4">
        <v>1</v>
      </c>
    </row>
    <row r="5" spans="1:15">
      <c r="A5" s="2"/>
      <c r="B5" s="2" t="s">
        <v>149</v>
      </c>
      <c r="C5" t="s">
        <v>2068</v>
      </c>
      <c r="D5" t="s">
        <v>2069</v>
      </c>
      <c r="E5" t="s">
        <v>2070</v>
      </c>
      <c r="F5" t="s">
        <v>2071</v>
      </c>
      <c r="G5" t="s">
        <v>2072</v>
      </c>
      <c r="H5">
        <v>1</v>
      </c>
      <c r="J5" s="2"/>
      <c r="M5" s="2" t="s">
        <v>573</v>
      </c>
      <c r="N5" s="2" t="s">
        <v>1960</v>
      </c>
      <c r="O5">
        <v>1</v>
      </c>
    </row>
    <row r="6" spans="1:15">
      <c r="A6" s="2" t="s">
        <v>2232</v>
      </c>
      <c r="B6" s="2"/>
      <c r="C6" s="2"/>
      <c r="D6" s="2"/>
      <c r="E6" s="2"/>
      <c r="F6" s="2"/>
      <c r="G6" s="2"/>
      <c r="H6" s="2">
        <v>3</v>
      </c>
      <c r="J6" s="2"/>
      <c r="M6" s="2" t="s">
        <v>1129</v>
      </c>
      <c r="N6" s="2" t="s">
        <v>2030</v>
      </c>
      <c r="O6">
        <v>1</v>
      </c>
    </row>
    <row r="7" spans="1:15">
      <c r="A7" s="2" t="s">
        <v>2108</v>
      </c>
      <c r="B7" s="2" t="s">
        <v>2109</v>
      </c>
      <c r="C7" t="s">
        <v>455</v>
      </c>
      <c r="D7" t="s">
        <v>454</v>
      </c>
      <c r="E7" t="s">
        <v>455</v>
      </c>
      <c r="F7" t="s">
        <v>2112</v>
      </c>
      <c r="G7" t="s">
        <v>454</v>
      </c>
      <c r="H7">
        <v>1</v>
      </c>
      <c r="J7" s="2"/>
      <c r="M7" s="2" t="s">
        <v>548</v>
      </c>
      <c r="N7" s="2" t="s">
        <v>1960</v>
      </c>
      <c r="O7">
        <v>1</v>
      </c>
    </row>
    <row r="8" spans="1:15">
      <c r="A8" s="2" t="s">
        <v>2233</v>
      </c>
      <c r="B8" s="2"/>
      <c r="C8" s="2"/>
      <c r="D8" s="2"/>
      <c r="E8" s="2"/>
      <c r="F8" s="2"/>
      <c r="G8" s="2"/>
      <c r="H8" s="2">
        <v>1</v>
      </c>
      <c r="J8" s="2"/>
      <c r="M8" s="2" t="s">
        <v>2006</v>
      </c>
      <c r="N8" s="2" t="s">
        <v>2005</v>
      </c>
      <c r="O8">
        <v>1</v>
      </c>
    </row>
    <row r="9" spans="1:15">
      <c r="A9" s="2" t="s">
        <v>1948</v>
      </c>
      <c r="B9" s="2" t="s">
        <v>1298</v>
      </c>
      <c r="C9" t="s">
        <v>2118</v>
      </c>
      <c r="D9" t="s">
        <v>2119</v>
      </c>
      <c r="E9" t="s">
        <v>2120</v>
      </c>
      <c r="F9" t="s">
        <v>2121</v>
      </c>
      <c r="G9" t="s">
        <v>2122</v>
      </c>
      <c r="H9">
        <v>1</v>
      </c>
      <c r="J9" s="2"/>
      <c r="M9" s="2" t="s">
        <v>611</v>
      </c>
      <c r="N9" s="2" t="s">
        <v>1960</v>
      </c>
      <c r="O9">
        <v>1</v>
      </c>
    </row>
    <row r="10" spans="1:15">
      <c r="A10" s="2"/>
      <c r="B10" s="2" t="s">
        <v>1309</v>
      </c>
      <c r="C10" t="s">
        <v>2046</v>
      </c>
      <c r="D10" t="s">
        <v>2047</v>
      </c>
      <c r="E10" t="s">
        <v>2046</v>
      </c>
      <c r="F10" t="s">
        <v>2048</v>
      </c>
      <c r="G10" t="s">
        <v>2047</v>
      </c>
      <c r="H10">
        <v>1</v>
      </c>
      <c r="J10" s="2"/>
      <c r="M10" s="2" t="s">
        <v>739</v>
      </c>
      <c r="N10" s="2" t="s">
        <v>1960</v>
      </c>
      <c r="O10">
        <v>1</v>
      </c>
    </row>
    <row r="11" spans="1:15">
      <c r="A11" s="2"/>
      <c r="B11" s="2" t="s">
        <v>2139</v>
      </c>
      <c r="C11" t="s">
        <v>2142</v>
      </c>
      <c r="D11" t="s">
        <v>2143</v>
      </c>
      <c r="E11" t="s">
        <v>2144</v>
      </c>
      <c r="F11" t="s">
        <v>2145</v>
      </c>
      <c r="G11" t="s">
        <v>2146</v>
      </c>
      <c r="H11">
        <v>1</v>
      </c>
      <c r="J11" s="2"/>
      <c r="M11" s="2" t="s">
        <v>1155</v>
      </c>
      <c r="N11" s="2" t="s">
        <v>1997</v>
      </c>
      <c r="O11">
        <v>1</v>
      </c>
    </row>
    <row r="12" spans="1:15">
      <c r="A12" s="2"/>
      <c r="B12" s="2" t="s">
        <v>1318</v>
      </c>
      <c r="C12" t="s">
        <v>1952</v>
      </c>
      <c r="D12" t="s">
        <v>1952</v>
      </c>
      <c r="E12" t="s">
        <v>1953</v>
      </c>
      <c r="F12" t="s">
        <v>1952</v>
      </c>
      <c r="G12" t="s">
        <v>1952</v>
      </c>
      <c r="H12">
        <v>1</v>
      </c>
      <c r="J12" s="2"/>
      <c r="M12" s="2" t="s">
        <v>164</v>
      </c>
      <c r="N12" s="2" t="s">
        <v>2012</v>
      </c>
      <c r="O12">
        <v>1</v>
      </c>
    </row>
    <row r="13" spans="1:15">
      <c r="A13" s="2" t="s">
        <v>2234</v>
      </c>
      <c r="B13" s="2"/>
      <c r="C13" s="2"/>
      <c r="D13" s="2"/>
      <c r="E13" s="2"/>
      <c r="F13" s="2"/>
      <c r="G13" s="2"/>
      <c r="H13" s="2">
        <v>4</v>
      </c>
      <c r="J13" s="2"/>
      <c r="M13" s="2" t="s">
        <v>1271</v>
      </c>
      <c r="N13" s="2" t="s">
        <v>2058</v>
      </c>
      <c r="O13">
        <v>1</v>
      </c>
    </row>
    <row r="14" spans="1:15">
      <c r="A14" s="2" t="s">
        <v>1960</v>
      </c>
      <c r="B14" s="2" t="s">
        <v>633</v>
      </c>
      <c r="C14" t="s">
        <v>2191</v>
      </c>
      <c r="D14" t="s">
        <v>2192</v>
      </c>
      <c r="E14" t="s">
        <v>2193</v>
      </c>
      <c r="F14" t="s">
        <v>2194</v>
      </c>
      <c r="G14" t="s">
        <v>2192</v>
      </c>
      <c r="H14">
        <v>1</v>
      </c>
      <c r="J14" s="2"/>
      <c r="M14" s="2" t="s">
        <v>1352</v>
      </c>
      <c r="N14" s="2" t="s">
        <v>1988</v>
      </c>
      <c r="O14">
        <v>1</v>
      </c>
    </row>
    <row r="15" spans="1:15">
      <c r="A15" s="2"/>
      <c r="B15" s="2" t="s">
        <v>573</v>
      </c>
      <c r="C15" t="s">
        <v>1971</v>
      </c>
      <c r="D15" t="s">
        <v>1972</v>
      </c>
      <c r="E15" t="s">
        <v>1973</v>
      </c>
      <c r="F15" t="s">
        <v>1974</v>
      </c>
      <c r="G15" t="s">
        <v>1975</v>
      </c>
      <c r="H15">
        <v>1</v>
      </c>
      <c r="J15" s="2"/>
      <c r="M15" s="2" t="s">
        <v>1378</v>
      </c>
      <c r="N15" s="2" t="s">
        <v>1988</v>
      </c>
      <c r="O15">
        <v>1</v>
      </c>
    </row>
    <row r="16" spans="1:15">
      <c r="A16" s="2"/>
      <c r="B16" s="2" t="s">
        <v>548</v>
      </c>
      <c r="C16" t="s">
        <v>1963</v>
      </c>
      <c r="D16" t="s">
        <v>553</v>
      </c>
      <c r="E16" t="s">
        <v>1964</v>
      </c>
      <c r="F16" t="s">
        <v>1965</v>
      </c>
      <c r="G16" t="s">
        <v>1966</v>
      </c>
      <c r="H16">
        <v>1</v>
      </c>
      <c r="J16" s="2"/>
      <c r="M16" s="2" t="s">
        <v>913</v>
      </c>
      <c r="N16" s="2" t="s">
        <v>2084</v>
      </c>
      <c r="O16">
        <v>1</v>
      </c>
    </row>
    <row r="17" spans="1:15">
      <c r="A17" s="2"/>
      <c r="B17" s="2" t="s">
        <v>525</v>
      </c>
      <c r="C17" t="s">
        <v>2150</v>
      </c>
      <c r="D17" t="s">
        <v>2151</v>
      </c>
      <c r="E17" t="s">
        <v>2152</v>
      </c>
      <c r="F17" t="s">
        <v>2153</v>
      </c>
      <c r="G17" t="s">
        <v>2154</v>
      </c>
      <c r="H17">
        <v>1</v>
      </c>
      <c r="J17" s="2"/>
      <c r="M17" s="2" t="s">
        <v>281</v>
      </c>
      <c r="N17" s="2" t="s">
        <v>2005</v>
      </c>
      <c r="O17">
        <v>1</v>
      </c>
    </row>
    <row r="18" spans="1:15">
      <c r="A18" s="2"/>
      <c r="B18" s="2" t="s">
        <v>611</v>
      </c>
      <c r="C18" t="s">
        <v>1985</v>
      </c>
      <c r="D18" t="s">
        <v>1986</v>
      </c>
      <c r="E18" t="s">
        <v>1985</v>
      </c>
      <c r="F18" t="s">
        <v>1987</v>
      </c>
      <c r="G18" t="s">
        <v>1986</v>
      </c>
      <c r="H18">
        <v>1</v>
      </c>
      <c r="J18" s="2"/>
      <c r="M18" s="2" t="s">
        <v>794</v>
      </c>
      <c r="N18" s="2" t="s">
        <v>1960</v>
      </c>
      <c r="O18">
        <v>1</v>
      </c>
    </row>
    <row r="19" spans="1:15">
      <c r="A19" s="2"/>
      <c r="B19" s="2" t="s">
        <v>739</v>
      </c>
      <c r="C19" t="s">
        <v>1979</v>
      </c>
      <c r="D19" t="s">
        <v>1980</v>
      </c>
      <c r="E19" t="s">
        <v>1979</v>
      </c>
      <c r="F19" t="s">
        <v>1981</v>
      </c>
      <c r="G19" t="s">
        <v>1980</v>
      </c>
      <c r="H19">
        <v>1</v>
      </c>
      <c r="J19" s="2"/>
      <c r="M19" s="2" t="s">
        <v>1309</v>
      </c>
      <c r="N19" s="2" t="s">
        <v>1948</v>
      </c>
      <c r="O19">
        <v>1</v>
      </c>
    </row>
    <row r="20" spans="1:15">
      <c r="A20" s="2"/>
      <c r="B20" s="2" t="s">
        <v>837</v>
      </c>
      <c r="C20" t="s">
        <v>2075</v>
      </c>
      <c r="D20" t="s">
        <v>2076</v>
      </c>
      <c r="E20" t="s">
        <v>2077</v>
      </c>
      <c r="F20" t="s">
        <v>2078</v>
      </c>
      <c r="G20" t="s">
        <v>2079</v>
      </c>
      <c r="H20">
        <v>1</v>
      </c>
      <c r="J20" s="2"/>
      <c r="M20" s="2" t="s">
        <v>2139</v>
      </c>
      <c r="N20" s="2" t="s">
        <v>1948</v>
      </c>
      <c r="O20">
        <v>1</v>
      </c>
    </row>
    <row r="21" spans="1:15">
      <c r="A21" s="2"/>
      <c r="B21" s="2" t="s">
        <v>794</v>
      </c>
      <c r="C21" t="s">
        <v>2168</v>
      </c>
      <c r="D21" t="s">
        <v>2169</v>
      </c>
      <c r="E21" t="s">
        <v>2170</v>
      </c>
      <c r="F21" t="s">
        <v>2171</v>
      </c>
      <c r="G21" t="s">
        <v>2172</v>
      </c>
      <c r="H21">
        <v>1</v>
      </c>
      <c r="J21" s="2"/>
      <c r="M21" s="2" t="s">
        <v>927</v>
      </c>
      <c r="N21" s="2" t="s">
        <v>2084</v>
      </c>
      <c r="O21">
        <v>1</v>
      </c>
    </row>
    <row r="22" spans="1:15">
      <c r="A22" s="2"/>
      <c r="B22" s="2" t="s">
        <v>773</v>
      </c>
      <c r="C22" t="s">
        <v>2159</v>
      </c>
      <c r="D22" t="s">
        <v>2160</v>
      </c>
      <c r="E22" t="s">
        <v>2161</v>
      </c>
      <c r="F22" t="s">
        <v>2162</v>
      </c>
      <c r="G22" t="s">
        <v>2163</v>
      </c>
      <c r="H22">
        <v>1</v>
      </c>
      <c r="J22" s="2"/>
      <c r="M22" s="2" t="s">
        <v>943</v>
      </c>
      <c r="N22" s="2" t="s">
        <v>2084</v>
      </c>
      <c r="O22">
        <v>1</v>
      </c>
    </row>
    <row r="23" spans="1:15">
      <c r="A23" s="2"/>
      <c r="B23" s="2" t="s">
        <v>560</v>
      </c>
      <c r="C23" t="s">
        <v>2132</v>
      </c>
      <c r="D23" t="s">
        <v>2133</v>
      </c>
      <c r="E23" t="s">
        <v>2134</v>
      </c>
      <c r="F23" t="s">
        <v>2135</v>
      </c>
      <c r="G23" t="s">
        <v>2136</v>
      </c>
      <c r="H23">
        <v>1</v>
      </c>
      <c r="J23" s="2"/>
      <c r="M23" s="2" t="s">
        <v>177</v>
      </c>
      <c r="N23" s="2" t="s">
        <v>2012</v>
      </c>
      <c r="O23">
        <v>1</v>
      </c>
    </row>
    <row r="24" spans="1:15">
      <c r="A24" s="2"/>
      <c r="B24" s="2" t="s">
        <v>694</v>
      </c>
      <c r="C24" t="s">
        <v>2101</v>
      </c>
      <c r="D24" t="s">
        <v>2102</v>
      </c>
      <c r="E24" t="s">
        <v>2103</v>
      </c>
      <c r="F24" t="s">
        <v>2104</v>
      </c>
      <c r="G24" t="s">
        <v>2105</v>
      </c>
      <c r="H24">
        <v>1</v>
      </c>
      <c r="J24" s="2"/>
      <c r="M24" s="2" t="s">
        <v>694</v>
      </c>
      <c r="N24" s="2" t="s">
        <v>1960</v>
      </c>
      <c r="O24">
        <v>1</v>
      </c>
    </row>
    <row r="25" spans="1:15">
      <c r="A25" s="2" t="s">
        <v>2235</v>
      </c>
      <c r="B25" s="2"/>
      <c r="C25" s="2"/>
      <c r="D25" s="2"/>
      <c r="E25" s="2"/>
      <c r="F25" s="2"/>
      <c r="G25" s="2"/>
      <c r="H25" s="2">
        <v>11</v>
      </c>
      <c r="J25" s="2"/>
      <c r="M25" s="2" t="s">
        <v>149</v>
      </c>
      <c r="N25" s="2" t="s">
        <v>2012</v>
      </c>
      <c r="O25">
        <v>1</v>
      </c>
    </row>
    <row r="26" spans="1:15">
      <c r="A26" s="2" t="s">
        <v>2005</v>
      </c>
      <c r="B26" s="2" t="s">
        <v>344</v>
      </c>
      <c r="C26" t="s">
        <v>2052</v>
      </c>
      <c r="D26" t="s">
        <v>2053</v>
      </c>
      <c r="E26" t="s">
        <v>2054</v>
      </c>
      <c r="F26" t="s">
        <v>2055</v>
      </c>
      <c r="G26" t="s">
        <v>2053</v>
      </c>
      <c r="H26">
        <v>1</v>
      </c>
      <c r="J26" s="2"/>
      <c r="M26" s="2" t="s">
        <v>1358</v>
      </c>
      <c r="N26" s="2" t="s">
        <v>1988</v>
      </c>
      <c r="O26">
        <v>1</v>
      </c>
    </row>
    <row r="27" spans="1:15">
      <c r="A27" s="2"/>
      <c r="B27" s="2" t="s">
        <v>2006</v>
      </c>
      <c r="C27" t="s">
        <v>2010</v>
      </c>
      <c r="D27" t="s">
        <v>2011</v>
      </c>
      <c r="E27" t="s">
        <v>2010</v>
      </c>
      <c r="F27" t="s">
        <v>1987</v>
      </c>
      <c r="G27" t="s">
        <v>2011</v>
      </c>
      <c r="H27">
        <v>1</v>
      </c>
      <c r="J27" t="s">
        <v>2236</v>
      </c>
      <c r="O27">
        <v>24</v>
      </c>
    </row>
    <row r="28" spans="1:15">
      <c r="A28" s="2"/>
      <c r="B28" s="2" t="s">
        <v>281</v>
      </c>
      <c r="C28" t="s">
        <v>2040</v>
      </c>
      <c r="D28" t="s">
        <v>2041</v>
      </c>
      <c r="E28" t="s">
        <v>2042</v>
      </c>
      <c r="F28" t="s">
        <v>2043</v>
      </c>
      <c r="G28" t="s">
        <v>2041</v>
      </c>
      <c r="H28">
        <v>1</v>
      </c>
      <c r="J28" s="2" t="s">
        <v>1954</v>
      </c>
      <c r="K28" t="s">
        <v>2231</v>
      </c>
      <c r="L28" s="104" t="s">
        <v>2096</v>
      </c>
      <c r="M28" s="2" t="s">
        <v>1836</v>
      </c>
      <c r="N28" s="2" t="s">
        <v>2005</v>
      </c>
      <c r="O28">
        <v>1</v>
      </c>
    </row>
    <row r="29" spans="1:15">
      <c r="A29" s="2"/>
      <c r="B29" s="2" t="s">
        <v>409</v>
      </c>
      <c r="C29" t="s">
        <v>2216</v>
      </c>
      <c r="D29" t="s">
        <v>2217</v>
      </c>
      <c r="E29" t="s">
        <v>2218</v>
      </c>
      <c r="F29" t="s">
        <v>2095</v>
      </c>
      <c r="G29" t="s">
        <v>2217</v>
      </c>
      <c r="H29">
        <v>1</v>
      </c>
      <c r="J29" s="2"/>
      <c r="L29" t="s">
        <v>1955</v>
      </c>
      <c r="M29" s="2" t="s">
        <v>1318</v>
      </c>
      <c r="N29" s="2" t="s">
        <v>1948</v>
      </c>
      <c r="O29">
        <v>1</v>
      </c>
    </row>
    <row r="30" spans="1:15">
      <c r="A30" s="2"/>
      <c r="B30" s="2" t="s">
        <v>422</v>
      </c>
      <c r="C30" t="s">
        <v>2125</v>
      </c>
      <c r="D30" t="s">
        <v>2126</v>
      </c>
      <c r="E30" t="s">
        <v>2125</v>
      </c>
      <c r="F30" t="s">
        <v>2127</v>
      </c>
      <c r="G30" t="s">
        <v>2126</v>
      </c>
      <c r="H30">
        <v>1</v>
      </c>
      <c r="J30" s="2"/>
      <c r="L30" s="104" t="s">
        <v>2219</v>
      </c>
      <c r="M30" s="2" t="s">
        <v>409</v>
      </c>
      <c r="N30" s="2" t="s">
        <v>2005</v>
      </c>
      <c r="O30">
        <v>1</v>
      </c>
    </row>
    <row r="31" spans="1:15">
      <c r="A31" s="2"/>
      <c r="B31" s="2" t="s">
        <v>1836</v>
      </c>
      <c r="C31" t="s">
        <v>2094</v>
      </c>
      <c r="D31" t="s">
        <v>1841</v>
      </c>
      <c r="E31" t="s">
        <v>2094</v>
      </c>
      <c r="F31" t="s">
        <v>2095</v>
      </c>
      <c r="G31" t="s">
        <v>1841</v>
      </c>
      <c r="H31">
        <v>1</v>
      </c>
      <c r="J31" t="s">
        <v>2237</v>
      </c>
      <c r="O31">
        <v>3</v>
      </c>
    </row>
    <row r="32" spans="1:15">
      <c r="A32" s="2" t="s">
        <v>2238</v>
      </c>
      <c r="B32" s="2"/>
      <c r="C32" s="2"/>
      <c r="D32" s="2"/>
      <c r="E32" s="2"/>
      <c r="F32" s="2"/>
      <c r="G32" s="2"/>
      <c r="H32" s="2">
        <v>6</v>
      </c>
      <c r="J32" s="2" t="s">
        <v>2056</v>
      </c>
      <c r="K32" t="s">
        <v>1958</v>
      </c>
      <c r="L32" t="s">
        <v>2231</v>
      </c>
      <c r="M32" s="2" t="s">
        <v>1146</v>
      </c>
      <c r="N32" s="2" t="s">
        <v>2030</v>
      </c>
      <c r="O32">
        <v>1</v>
      </c>
    </row>
    <row r="33" spans="1:15">
      <c r="A33" s="2" t="s">
        <v>2084</v>
      </c>
      <c r="B33" s="2" t="s">
        <v>913</v>
      </c>
      <c r="C33" t="s">
        <v>2185</v>
      </c>
      <c r="D33" t="s">
        <v>2186</v>
      </c>
      <c r="E33" t="s">
        <v>922</v>
      </c>
      <c r="F33" t="s">
        <v>2187</v>
      </c>
      <c r="G33" t="s">
        <v>2186</v>
      </c>
      <c r="H33">
        <v>1</v>
      </c>
      <c r="J33" s="2"/>
      <c r="K33" t="s">
        <v>2239</v>
      </c>
      <c r="L33" t="s">
        <v>2231</v>
      </c>
      <c r="M33" s="2" t="s">
        <v>837</v>
      </c>
      <c r="N33" s="2" t="s">
        <v>1960</v>
      </c>
      <c r="O33">
        <v>1</v>
      </c>
    </row>
    <row r="34" spans="1:15">
      <c r="A34" s="2"/>
      <c r="B34" s="2" t="s">
        <v>927</v>
      </c>
      <c r="C34" t="s">
        <v>2208</v>
      </c>
      <c r="D34" t="s">
        <v>2209</v>
      </c>
      <c r="E34" t="s">
        <v>2210</v>
      </c>
      <c r="F34" t="s">
        <v>2211</v>
      </c>
      <c r="G34" t="s">
        <v>2212</v>
      </c>
      <c r="H34">
        <v>1</v>
      </c>
      <c r="J34" s="2"/>
      <c r="K34" t="s">
        <v>2164</v>
      </c>
      <c r="L34" t="s">
        <v>2231</v>
      </c>
      <c r="M34" s="2" t="s">
        <v>773</v>
      </c>
      <c r="N34" s="2" t="s">
        <v>1960</v>
      </c>
      <c r="O34">
        <v>1</v>
      </c>
    </row>
    <row r="35" spans="1:15">
      <c r="A35" s="2"/>
      <c r="B35" s="2" t="s">
        <v>943</v>
      </c>
      <c r="C35" t="s">
        <v>2087</v>
      </c>
      <c r="D35" t="s">
        <v>2088</v>
      </c>
      <c r="E35" t="s">
        <v>2089</v>
      </c>
      <c r="F35" t="s">
        <v>2090</v>
      </c>
      <c r="G35" t="s">
        <v>2091</v>
      </c>
      <c r="H35">
        <v>1</v>
      </c>
      <c r="J35" s="2"/>
      <c r="K35" t="s">
        <v>2137</v>
      </c>
      <c r="L35" t="s">
        <v>2231</v>
      </c>
      <c r="M35" s="2" t="s">
        <v>560</v>
      </c>
      <c r="N35" s="2" t="s">
        <v>1960</v>
      </c>
      <c r="O35">
        <v>1</v>
      </c>
    </row>
    <row r="36" spans="1:15">
      <c r="A36" s="2" t="s">
        <v>2240</v>
      </c>
      <c r="B36" s="2"/>
      <c r="C36" s="2"/>
      <c r="D36" s="2"/>
      <c r="E36" s="2"/>
      <c r="F36" s="2"/>
      <c r="G36" s="2"/>
      <c r="H36" s="2">
        <v>3</v>
      </c>
      <c r="J36" s="2"/>
      <c r="K36" t="s">
        <v>2155</v>
      </c>
      <c r="L36" t="s">
        <v>2231</v>
      </c>
      <c r="M36" s="2" t="s">
        <v>525</v>
      </c>
      <c r="N36" s="2" t="s">
        <v>1960</v>
      </c>
      <c r="O36">
        <v>1</v>
      </c>
    </row>
    <row r="37" spans="1:15">
      <c r="A37" s="2" t="s">
        <v>2030</v>
      </c>
      <c r="B37" s="2" t="s">
        <v>1129</v>
      </c>
      <c r="C37" t="s">
        <v>2033</v>
      </c>
      <c r="D37" t="s">
        <v>2034</v>
      </c>
      <c r="E37" t="s">
        <v>2035</v>
      </c>
      <c r="F37" t="s">
        <v>2036</v>
      </c>
      <c r="G37" t="s">
        <v>2037</v>
      </c>
      <c r="H37">
        <v>1</v>
      </c>
      <c r="J37" s="2"/>
      <c r="K37" t="s">
        <v>2128</v>
      </c>
      <c r="L37" t="s">
        <v>2231</v>
      </c>
      <c r="M37" s="2" t="s">
        <v>422</v>
      </c>
      <c r="N37" s="2" t="s">
        <v>2005</v>
      </c>
      <c r="O37">
        <v>1</v>
      </c>
    </row>
    <row r="38" spans="1:15">
      <c r="A38" s="2"/>
      <c r="B38" s="2" t="s">
        <v>1146</v>
      </c>
      <c r="C38" t="s">
        <v>2223</v>
      </c>
      <c r="D38" t="s">
        <v>1150</v>
      </c>
      <c r="E38" t="s">
        <v>2224</v>
      </c>
      <c r="F38" t="s">
        <v>2225</v>
      </c>
      <c r="G38" t="s">
        <v>2226</v>
      </c>
      <c r="H38">
        <v>1</v>
      </c>
      <c r="J38" s="2"/>
      <c r="K38" t="s">
        <v>2113</v>
      </c>
      <c r="L38" t="s">
        <v>2231</v>
      </c>
      <c r="M38" s="2" t="s">
        <v>2109</v>
      </c>
      <c r="N38" s="2" t="s">
        <v>2108</v>
      </c>
      <c r="O38">
        <v>1</v>
      </c>
    </row>
    <row r="39" spans="1:15">
      <c r="A39" s="2" t="s">
        <v>2241</v>
      </c>
      <c r="B39" s="2"/>
      <c r="C39" s="2"/>
      <c r="D39" s="2"/>
      <c r="E39" s="2"/>
      <c r="F39" s="2"/>
      <c r="G39" s="2"/>
      <c r="H39" s="2">
        <v>2</v>
      </c>
      <c r="J39" s="2"/>
      <c r="K39" t="s">
        <v>2057</v>
      </c>
      <c r="L39" t="s">
        <v>2231</v>
      </c>
      <c r="M39" s="2" t="s">
        <v>344</v>
      </c>
      <c r="N39" s="2" t="s">
        <v>2005</v>
      </c>
      <c r="O39">
        <v>1</v>
      </c>
    </row>
    <row r="40" spans="1:15">
      <c r="A40" s="2" t="s">
        <v>1997</v>
      </c>
      <c r="B40" s="2" t="s">
        <v>1155</v>
      </c>
      <c r="C40" t="s">
        <v>2000</v>
      </c>
      <c r="D40" t="s">
        <v>2001</v>
      </c>
      <c r="E40" t="s">
        <v>2002</v>
      </c>
      <c r="F40" t="s">
        <v>2003</v>
      </c>
      <c r="G40" t="s">
        <v>2004</v>
      </c>
      <c r="H40">
        <v>1</v>
      </c>
      <c r="J40" t="s">
        <v>2242</v>
      </c>
      <c r="O40">
        <v>8</v>
      </c>
    </row>
    <row r="41" spans="1:15">
      <c r="A41" s="2" t="s">
        <v>2243</v>
      </c>
      <c r="B41" s="2"/>
      <c r="C41" s="2"/>
      <c r="D41" s="2"/>
      <c r="E41" s="2"/>
      <c r="F41" s="2"/>
      <c r="G41" s="2"/>
      <c r="H41" s="2">
        <v>1</v>
      </c>
      <c r="J41" t="s">
        <v>2244</v>
      </c>
      <c r="O41">
        <v>35</v>
      </c>
    </row>
    <row r="42" spans="1:15">
      <c r="A42" s="2" t="s">
        <v>2058</v>
      </c>
      <c r="B42" s="2" t="s">
        <v>1271</v>
      </c>
      <c r="C42" t="s">
        <v>2062</v>
      </c>
      <c r="D42" t="s">
        <v>2063</v>
      </c>
      <c r="E42" t="s">
        <v>2062</v>
      </c>
      <c r="F42" t="s">
        <v>2064</v>
      </c>
      <c r="G42" t="s">
        <v>2063</v>
      </c>
      <c r="H42">
        <v>1</v>
      </c>
    </row>
    <row r="43" spans="1:15">
      <c r="A43" s="2" t="s">
        <v>2245</v>
      </c>
      <c r="B43" s="2"/>
      <c r="C43" s="2"/>
      <c r="D43" s="2"/>
      <c r="E43" s="2"/>
      <c r="F43" s="2"/>
      <c r="G43" s="2"/>
      <c r="H43" s="2">
        <v>1</v>
      </c>
    </row>
    <row r="44" spans="1:15">
      <c r="A44" s="2" t="s">
        <v>1988</v>
      </c>
      <c r="B44" s="2" t="s">
        <v>1352</v>
      </c>
      <c r="C44" t="s">
        <v>2199</v>
      </c>
      <c r="D44" t="s">
        <v>2200</v>
      </c>
      <c r="E44" t="s">
        <v>2201</v>
      </c>
      <c r="F44" t="s">
        <v>2202</v>
      </c>
      <c r="G44" t="s">
        <v>2203</v>
      </c>
      <c r="H44">
        <v>1</v>
      </c>
    </row>
    <row r="45" spans="1:15">
      <c r="A45" s="2"/>
      <c r="B45" s="2" t="s">
        <v>1378</v>
      </c>
      <c r="C45" t="s">
        <v>1992</v>
      </c>
      <c r="D45" t="s">
        <v>1993</v>
      </c>
      <c r="E45" t="s">
        <v>1994</v>
      </c>
      <c r="F45" t="s">
        <v>1995</v>
      </c>
      <c r="G45" t="s">
        <v>1996</v>
      </c>
      <c r="H45">
        <v>1</v>
      </c>
    </row>
    <row r="46" spans="1:15">
      <c r="A46" s="2"/>
      <c r="B46" s="2" t="s">
        <v>1358</v>
      </c>
      <c r="C46" t="s">
        <v>2175</v>
      </c>
      <c r="D46" t="s">
        <v>2176</v>
      </c>
      <c r="E46" t="s">
        <v>2177</v>
      </c>
      <c r="F46" t="s">
        <v>2178</v>
      </c>
      <c r="G46" t="s">
        <v>2179</v>
      </c>
      <c r="H46">
        <v>1</v>
      </c>
    </row>
    <row r="47" spans="1:15">
      <c r="A47" s="2" t="s">
        <v>2246</v>
      </c>
      <c r="B47" s="2"/>
      <c r="C47" s="2"/>
      <c r="D47" s="2"/>
      <c r="E47" s="2"/>
      <c r="F47" s="2"/>
      <c r="G47" s="2"/>
      <c r="H47" s="2">
        <v>3</v>
      </c>
    </row>
    <row r="48" spans="1:15">
      <c r="A48" t="s">
        <v>2244</v>
      </c>
      <c r="H48">
        <v>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AG238"/>
  <sheetViews>
    <sheetView zoomScaleNormal="100" workbookViewId="0">
      <pane xSplit="5" ySplit="1" topLeftCell="AF237" activePane="bottomRight" state="frozen"/>
      <selection pane="bottomRight" activeCell="AF237" sqref="AF237:AF238"/>
      <selection pane="bottomLeft" activeCell="A2" sqref="A2"/>
      <selection pane="topRight" activeCell="F1" sqref="F1"/>
    </sheetView>
  </sheetViews>
  <sheetFormatPr defaultColWidth="9.140625" defaultRowHeight="15"/>
  <cols>
    <col min="1" max="1" width="16" customWidth="1"/>
    <col min="2" max="2" width="10.85546875" style="2" customWidth="1"/>
    <col min="3" max="3" width="11.42578125" customWidth="1"/>
    <col min="4" max="4" width="26.28515625" style="120" customWidth="1"/>
    <col min="5" max="5" width="13.28515625" style="123" customWidth="1"/>
    <col min="6" max="6" width="26.85546875" style="2" customWidth="1"/>
    <col min="7" max="7" width="9" style="10" bestFit="1" customWidth="1"/>
    <col min="8" max="8" width="12.42578125" style="2" bestFit="1" customWidth="1"/>
    <col min="9" max="9" width="13.140625" style="2" bestFit="1" customWidth="1"/>
    <col min="10" max="10" width="22.42578125" style="2" bestFit="1" customWidth="1"/>
    <col min="11" max="11" width="6" bestFit="1" customWidth="1"/>
    <col min="12" max="12" width="11.85546875" customWidth="1"/>
    <col min="13" max="13" width="4.42578125" bestFit="1" customWidth="1"/>
    <col min="14" max="14" width="10.7109375" customWidth="1"/>
    <col min="15" max="15" width="10.42578125" bestFit="1" customWidth="1"/>
    <col min="16" max="16" width="24" customWidth="1"/>
    <col min="17" max="17" width="11.140625" customWidth="1"/>
    <col min="18" max="18" width="31.42578125" customWidth="1"/>
    <col min="19" max="19" width="20.85546875" customWidth="1"/>
    <col min="20" max="20" width="20.5703125" customWidth="1"/>
    <col min="21" max="21" width="20.42578125" customWidth="1"/>
    <col min="22" max="22" width="20" customWidth="1"/>
    <col min="23" max="26" width="15" customWidth="1"/>
    <col min="27" max="27" width="10.140625" customWidth="1"/>
    <col min="28" max="28" width="42.5703125" bestFit="1" customWidth="1"/>
    <col min="29" max="29" width="28.85546875" customWidth="1"/>
    <col min="30" max="30" width="29.85546875" bestFit="1" customWidth="1"/>
    <col min="31" max="31" width="26.140625" bestFit="1" customWidth="1"/>
    <col min="32" max="32" width="38.85546875" bestFit="1" customWidth="1"/>
    <col min="33" max="33" width="112.28515625" bestFit="1" customWidth="1"/>
    <col min="34" max="256" width="11.42578125" customWidth="1"/>
  </cols>
  <sheetData>
    <row r="1" spans="1:33" s="101" customFormat="1" ht="63.95" customHeight="1">
      <c r="A1" s="117" t="s">
        <v>2247</v>
      </c>
      <c r="B1" s="118" t="s">
        <v>1807</v>
      </c>
      <c r="C1" s="118" t="s">
        <v>1806</v>
      </c>
      <c r="D1" s="121" t="s">
        <v>2248</v>
      </c>
      <c r="E1" s="121" t="s">
        <v>2249</v>
      </c>
      <c r="F1" s="118" t="s">
        <v>2250</v>
      </c>
      <c r="G1" s="118" t="s">
        <v>2251</v>
      </c>
      <c r="H1" s="118" t="s">
        <v>2252</v>
      </c>
      <c r="I1" s="118" t="s">
        <v>2253</v>
      </c>
      <c r="J1" s="118" t="s">
        <v>2254</v>
      </c>
      <c r="K1" s="118" t="s">
        <v>2255</v>
      </c>
      <c r="L1" s="118" t="s">
        <v>2256</v>
      </c>
      <c r="M1" s="118" t="s">
        <v>2257</v>
      </c>
      <c r="N1" s="118" t="s">
        <v>2258</v>
      </c>
      <c r="O1" s="118" t="s">
        <v>2259</v>
      </c>
      <c r="P1" s="118" t="s">
        <v>2260</v>
      </c>
      <c r="Q1" s="118" t="s">
        <v>2261</v>
      </c>
      <c r="R1" s="118" t="s">
        <v>2262</v>
      </c>
      <c r="S1" s="118" t="s">
        <v>2263</v>
      </c>
      <c r="T1" s="118" t="s">
        <v>2264</v>
      </c>
      <c r="U1" s="118" t="s">
        <v>2265</v>
      </c>
      <c r="V1" s="118" t="s">
        <v>2266</v>
      </c>
      <c r="W1" s="118" t="s">
        <v>2267</v>
      </c>
      <c r="X1" s="118" t="s">
        <v>2268</v>
      </c>
      <c r="Y1" s="118" t="s">
        <v>2269</v>
      </c>
      <c r="Z1" s="118" t="s">
        <v>2270</v>
      </c>
      <c r="AA1" s="118" t="s">
        <v>2271</v>
      </c>
      <c r="AB1" s="118" t="s">
        <v>2272</v>
      </c>
      <c r="AC1" s="118" t="s">
        <v>2273</v>
      </c>
      <c r="AD1" s="118" t="s">
        <v>2274</v>
      </c>
      <c r="AE1" s="118" t="s">
        <v>2275</v>
      </c>
      <c r="AF1" s="118" t="s">
        <v>2276</v>
      </c>
      <c r="AG1" s="118" t="s">
        <v>46</v>
      </c>
    </row>
    <row r="2" spans="1:33">
      <c r="A2" s="438" t="s">
        <v>2277</v>
      </c>
      <c r="B2" s="440" t="s">
        <v>2278</v>
      </c>
      <c r="C2" s="438" t="s">
        <v>283</v>
      </c>
      <c r="D2" s="409" t="s">
        <v>281</v>
      </c>
      <c r="E2" s="414" t="str">
        <f>VLOOKUP(D2,OfertaPlazas!B:D,3,FALSE)</f>
        <v>Aachen</v>
      </c>
      <c r="F2" s="440" t="s">
        <v>2279</v>
      </c>
      <c r="G2" s="442">
        <v>999983962</v>
      </c>
      <c r="H2" s="440" t="s">
        <v>76</v>
      </c>
      <c r="I2" s="440" t="s">
        <v>76</v>
      </c>
      <c r="J2" s="440" t="s">
        <v>76</v>
      </c>
      <c r="K2" s="441" t="s">
        <v>75</v>
      </c>
      <c r="L2" s="441" t="s">
        <v>75</v>
      </c>
      <c r="M2" s="441" t="s">
        <v>76</v>
      </c>
      <c r="N2" s="441" t="s">
        <v>75</v>
      </c>
      <c r="O2" s="441" t="s">
        <v>76</v>
      </c>
      <c r="P2" s="438" t="s">
        <v>2280</v>
      </c>
      <c r="Q2" s="452" t="s">
        <v>75</v>
      </c>
      <c r="R2" s="439" t="s">
        <v>2281</v>
      </c>
      <c r="S2" s="437" t="s">
        <v>2280</v>
      </c>
      <c r="T2" s="437" t="s">
        <v>2280</v>
      </c>
      <c r="U2" s="437">
        <v>1</v>
      </c>
      <c r="V2" s="437">
        <v>1</v>
      </c>
      <c r="W2" s="453">
        <v>44331</v>
      </c>
      <c r="X2" s="453">
        <v>44515</v>
      </c>
      <c r="Y2" s="453">
        <v>44348</v>
      </c>
      <c r="Z2" s="453">
        <v>44531</v>
      </c>
      <c r="AA2" s="103" t="s">
        <v>2282</v>
      </c>
      <c r="AB2" s="103" t="s">
        <v>2283</v>
      </c>
      <c r="AC2" s="454"/>
      <c r="AD2" s="454" t="s">
        <v>2284</v>
      </c>
      <c r="AE2" s="454" t="s">
        <v>2285</v>
      </c>
      <c r="AF2" s="454"/>
      <c r="AG2" s="455"/>
    </row>
    <row r="3" spans="1:33" ht="15.75" thickBot="1">
      <c r="A3" s="395"/>
      <c r="B3" s="398"/>
      <c r="C3" s="395"/>
      <c r="D3" s="410"/>
      <c r="E3" s="415"/>
      <c r="F3" s="398"/>
      <c r="G3" s="411"/>
      <c r="H3" s="398"/>
      <c r="I3" s="398"/>
      <c r="J3" s="398"/>
      <c r="K3" s="390"/>
      <c r="L3" s="390"/>
      <c r="M3" s="390"/>
      <c r="N3" s="390"/>
      <c r="O3" s="390"/>
      <c r="P3" s="395"/>
      <c r="Q3" s="456"/>
      <c r="R3" s="421"/>
      <c r="S3" s="389"/>
      <c r="T3" s="389"/>
      <c r="U3" s="389"/>
      <c r="V3" s="389"/>
      <c r="W3" s="457"/>
      <c r="X3" s="457"/>
      <c r="Y3" s="457"/>
      <c r="Z3" s="457"/>
      <c r="AA3" s="103" t="s">
        <v>2286</v>
      </c>
      <c r="AB3" s="103" t="s">
        <v>2287</v>
      </c>
      <c r="AC3" s="458"/>
      <c r="AD3" s="458"/>
      <c r="AE3" s="458"/>
      <c r="AF3" s="458"/>
      <c r="AG3" s="459"/>
    </row>
    <row r="4" spans="1:33" ht="15.75" thickBot="1">
      <c r="A4" s="395" t="s">
        <v>2277</v>
      </c>
      <c r="B4" s="398" t="s">
        <v>2278</v>
      </c>
      <c r="C4" s="395" t="s">
        <v>2288</v>
      </c>
      <c r="D4" s="409" t="s">
        <v>2289</v>
      </c>
      <c r="E4" s="414" t="e">
        <f>VLOOKUP(D4,OfertaPlazas!B:D,3,FALSE)</f>
        <v>#N/A</v>
      </c>
      <c r="F4" s="398" t="s">
        <v>2289</v>
      </c>
      <c r="G4" s="411">
        <v>999986678</v>
      </c>
      <c r="H4" s="398" t="s">
        <v>76</v>
      </c>
      <c r="I4" s="398" t="s">
        <v>76</v>
      </c>
      <c r="J4" s="398" t="s">
        <v>76</v>
      </c>
      <c r="K4" s="390" t="s">
        <v>75</v>
      </c>
      <c r="L4" s="390" t="s">
        <v>75</v>
      </c>
      <c r="M4" s="390" t="s">
        <v>76</v>
      </c>
      <c r="N4" s="390" t="s">
        <v>75</v>
      </c>
      <c r="O4" s="390" t="s">
        <v>76</v>
      </c>
      <c r="P4" s="395" t="s">
        <v>2290</v>
      </c>
      <c r="Q4" s="456" t="s">
        <v>75</v>
      </c>
      <c r="R4" s="421" t="s">
        <v>2281</v>
      </c>
      <c r="S4" s="389" t="s">
        <v>2291</v>
      </c>
      <c r="T4" s="389" t="s">
        <v>2291</v>
      </c>
      <c r="U4" s="389">
        <v>1</v>
      </c>
      <c r="V4" s="389">
        <v>1</v>
      </c>
      <c r="W4" s="457">
        <v>44331</v>
      </c>
      <c r="X4" s="457">
        <v>44515</v>
      </c>
      <c r="Y4" s="457">
        <v>44348</v>
      </c>
      <c r="Z4" s="457">
        <v>44531</v>
      </c>
      <c r="AA4" s="103" t="s">
        <v>2282</v>
      </c>
      <c r="AB4" s="103" t="s">
        <v>2283</v>
      </c>
      <c r="AC4" s="458"/>
      <c r="AD4" s="458" t="s">
        <v>2284</v>
      </c>
      <c r="AE4" s="458" t="s">
        <v>2285</v>
      </c>
      <c r="AF4" s="458"/>
      <c r="AG4" s="459"/>
    </row>
    <row r="5" spans="1:33" ht="15.75" thickBot="1">
      <c r="A5" s="395"/>
      <c r="B5" s="398"/>
      <c r="C5" s="395"/>
      <c r="D5" s="410"/>
      <c r="E5" s="415"/>
      <c r="F5" s="398"/>
      <c r="G5" s="411"/>
      <c r="H5" s="398"/>
      <c r="I5" s="398"/>
      <c r="J5" s="398"/>
      <c r="K5" s="390"/>
      <c r="L5" s="390"/>
      <c r="M5" s="390"/>
      <c r="N5" s="390"/>
      <c r="O5" s="390"/>
      <c r="P5" s="395"/>
      <c r="Q5" s="456"/>
      <c r="R5" s="421"/>
      <c r="S5" s="389"/>
      <c r="T5" s="389"/>
      <c r="U5" s="389"/>
      <c r="V5" s="389"/>
      <c r="W5" s="457"/>
      <c r="X5" s="457"/>
      <c r="Y5" s="457"/>
      <c r="Z5" s="457"/>
      <c r="AA5" s="103" t="s">
        <v>2286</v>
      </c>
      <c r="AB5" s="103" t="s">
        <v>2287</v>
      </c>
      <c r="AC5" s="458"/>
      <c r="AD5" s="458"/>
      <c r="AE5" s="458"/>
      <c r="AF5" s="458"/>
      <c r="AG5" s="459"/>
    </row>
    <row r="6" spans="1:33" ht="15.75" thickBot="1">
      <c r="A6" s="395" t="s">
        <v>2277</v>
      </c>
      <c r="B6" s="398" t="s">
        <v>2278</v>
      </c>
      <c r="C6" s="395" t="s">
        <v>311</v>
      </c>
      <c r="D6" s="409" t="s">
        <v>309</v>
      </c>
      <c r="E6" s="414" t="str">
        <f>VLOOKUP(D6,OfertaPlazas!B:D,3,FALSE)</f>
        <v>Bonn</v>
      </c>
      <c r="F6" s="398" t="s">
        <v>2292</v>
      </c>
      <c r="G6" s="411">
        <v>999980276</v>
      </c>
      <c r="H6" s="398" t="s">
        <v>76</v>
      </c>
      <c r="I6" s="398" t="s">
        <v>76</v>
      </c>
      <c r="J6" s="398" t="s">
        <v>76</v>
      </c>
      <c r="K6" s="390" t="s">
        <v>75</v>
      </c>
      <c r="L6" s="390" t="s">
        <v>75</v>
      </c>
      <c r="M6" s="390" t="s">
        <v>75</v>
      </c>
      <c r="N6" s="390" t="s">
        <v>75</v>
      </c>
      <c r="O6" s="390" t="s">
        <v>75</v>
      </c>
      <c r="P6" s="395" t="s">
        <v>2293</v>
      </c>
      <c r="Q6" s="456" t="s">
        <v>75</v>
      </c>
      <c r="R6" s="421" t="s">
        <v>2294</v>
      </c>
      <c r="S6" s="389" t="s">
        <v>2293</v>
      </c>
      <c r="T6" s="389" t="s">
        <v>2293</v>
      </c>
      <c r="U6" s="389">
        <v>1</v>
      </c>
      <c r="V6" s="389">
        <v>1</v>
      </c>
      <c r="W6" s="457">
        <v>44331</v>
      </c>
      <c r="X6" s="457">
        <v>44515</v>
      </c>
      <c r="Y6" s="457">
        <v>44348</v>
      </c>
      <c r="Z6" s="457">
        <v>44531</v>
      </c>
      <c r="AA6" s="103" t="s">
        <v>2282</v>
      </c>
      <c r="AB6" s="103" t="s">
        <v>2283</v>
      </c>
      <c r="AC6" s="458"/>
      <c r="AD6" s="458" t="s">
        <v>2284</v>
      </c>
      <c r="AE6" s="458" t="s">
        <v>2285</v>
      </c>
      <c r="AF6" s="458"/>
      <c r="AG6" s="459"/>
    </row>
    <row r="7" spans="1:33" ht="15.75" thickBot="1">
      <c r="A7" s="395"/>
      <c r="B7" s="398"/>
      <c r="C7" s="395"/>
      <c r="D7" s="410"/>
      <c r="E7" s="415"/>
      <c r="F7" s="398"/>
      <c r="G7" s="411"/>
      <c r="H7" s="398"/>
      <c r="I7" s="398"/>
      <c r="J7" s="398"/>
      <c r="K7" s="390"/>
      <c r="L7" s="390"/>
      <c r="M7" s="390"/>
      <c r="N7" s="390"/>
      <c r="O7" s="390"/>
      <c r="P7" s="395"/>
      <c r="Q7" s="456"/>
      <c r="R7" s="421"/>
      <c r="S7" s="389"/>
      <c r="T7" s="389"/>
      <c r="U7" s="389"/>
      <c r="V7" s="389"/>
      <c r="W7" s="457"/>
      <c r="X7" s="457"/>
      <c r="Y7" s="457"/>
      <c r="Z7" s="457"/>
      <c r="AA7" s="103" t="s">
        <v>2286</v>
      </c>
      <c r="AB7" s="103" t="s">
        <v>2287</v>
      </c>
      <c r="AC7" s="458"/>
      <c r="AD7" s="458"/>
      <c r="AE7" s="458"/>
      <c r="AF7" s="458"/>
      <c r="AG7" s="459"/>
    </row>
    <row r="8" spans="1:33" ht="15.75" thickBot="1">
      <c r="A8" s="395" t="s">
        <v>2277</v>
      </c>
      <c r="B8" s="398" t="s">
        <v>2278</v>
      </c>
      <c r="C8" s="395" t="s">
        <v>2295</v>
      </c>
      <c r="D8" s="409" t="s">
        <v>323</v>
      </c>
      <c r="E8" s="414">
        <f>VLOOKUP(D8,OfertaPlazas!B:D,3,FALSE)</f>
        <v>0</v>
      </c>
      <c r="F8" s="398" t="s">
        <v>2296</v>
      </c>
      <c r="G8" s="411">
        <v>999861257</v>
      </c>
      <c r="H8" s="398" t="s">
        <v>76</v>
      </c>
      <c r="I8" s="398" t="s">
        <v>76</v>
      </c>
      <c r="J8" s="398" t="s">
        <v>76</v>
      </c>
      <c r="K8" s="390" t="s">
        <v>75</v>
      </c>
      <c r="L8" s="390" t="s">
        <v>75</v>
      </c>
      <c r="M8" s="390" t="s">
        <v>76</v>
      </c>
      <c r="N8" s="390" t="s">
        <v>75</v>
      </c>
      <c r="O8" s="390" t="s">
        <v>76</v>
      </c>
      <c r="P8" s="395" t="s">
        <v>2291</v>
      </c>
      <c r="Q8" s="456" t="s">
        <v>75</v>
      </c>
      <c r="R8" s="421" t="s">
        <v>2281</v>
      </c>
      <c r="S8" s="389" t="s">
        <v>2297</v>
      </c>
      <c r="T8" s="389" t="s">
        <v>2297</v>
      </c>
      <c r="U8" s="389">
        <v>1</v>
      </c>
      <c r="V8" s="389">
        <v>1</v>
      </c>
      <c r="W8" s="457">
        <v>44331</v>
      </c>
      <c r="X8" s="457">
        <v>44515</v>
      </c>
      <c r="Y8" s="457">
        <v>44348</v>
      </c>
      <c r="Z8" s="457">
        <v>44531</v>
      </c>
      <c r="AA8" s="103" t="s">
        <v>2282</v>
      </c>
      <c r="AB8" s="103" t="s">
        <v>2283</v>
      </c>
      <c r="AC8" s="458"/>
      <c r="AD8" s="458" t="s">
        <v>2284</v>
      </c>
      <c r="AE8" s="458" t="s">
        <v>2285</v>
      </c>
      <c r="AF8" s="458"/>
      <c r="AG8" s="459"/>
    </row>
    <row r="9" spans="1:33" ht="15.75" thickBot="1">
      <c r="A9" s="395"/>
      <c r="B9" s="398"/>
      <c r="C9" s="395"/>
      <c r="D9" s="410"/>
      <c r="E9" s="415"/>
      <c r="F9" s="398"/>
      <c r="G9" s="411"/>
      <c r="H9" s="398"/>
      <c r="I9" s="398"/>
      <c r="J9" s="398"/>
      <c r="K9" s="390"/>
      <c r="L9" s="390"/>
      <c r="M9" s="390"/>
      <c r="N9" s="390"/>
      <c r="O9" s="390"/>
      <c r="P9" s="395"/>
      <c r="Q9" s="456"/>
      <c r="R9" s="421"/>
      <c r="S9" s="389"/>
      <c r="T9" s="389"/>
      <c r="U9" s="389"/>
      <c r="V9" s="389"/>
      <c r="W9" s="457"/>
      <c r="X9" s="457"/>
      <c r="Y9" s="457"/>
      <c r="Z9" s="457"/>
      <c r="AA9" s="103" t="s">
        <v>2286</v>
      </c>
      <c r="AB9" s="103" t="s">
        <v>2287</v>
      </c>
      <c r="AC9" s="458"/>
      <c r="AD9" s="458"/>
      <c r="AE9" s="458"/>
      <c r="AF9" s="458"/>
      <c r="AG9" s="459"/>
    </row>
    <row r="10" spans="1:33" ht="15.75" thickBot="1">
      <c r="A10" s="395" t="s">
        <v>2277</v>
      </c>
      <c r="B10" s="398" t="s">
        <v>2278</v>
      </c>
      <c r="C10" s="395" t="s">
        <v>334</v>
      </c>
      <c r="D10" s="409" t="s">
        <v>333</v>
      </c>
      <c r="E10" s="414" t="str">
        <f>VLOOKUP(D10,OfertaPlazas!B:D,3,FALSE)</f>
        <v>Darmstadt</v>
      </c>
      <c r="F10" s="398" t="s">
        <v>333</v>
      </c>
      <c r="G10" s="411">
        <v>999986581</v>
      </c>
      <c r="H10" s="398" t="s">
        <v>76</v>
      </c>
      <c r="I10" s="398" t="s">
        <v>76</v>
      </c>
      <c r="J10" s="398" t="s">
        <v>76</v>
      </c>
      <c r="K10" s="390" t="s">
        <v>75</v>
      </c>
      <c r="L10" s="390" t="s">
        <v>75</v>
      </c>
      <c r="M10" s="390" t="s">
        <v>76</v>
      </c>
      <c r="N10" s="390" t="s">
        <v>75</v>
      </c>
      <c r="O10" s="390" t="s">
        <v>76</v>
      </c>
      <c r="P10" s="395" t="s">
        <v>2280</v>
      </c>
      <c r="Q10" s="456" t="s">
        <v>75</v>
      </c>
      <c r="R10" s="421" t="s">
        <v>2281</v>
      </c>
      <c r="S10" s="389" t="s">
        <v>2280</v>
      </c>
      <c r="T10" s="389" t="s">
        <v>2280</v>
      </c>
      <c r="U10" s="389">
        <v>1</v>
      </c>
      <c r="V10" s="389">
        <v>1</v>
      </c>
      <c r="W10" s="457">
        <v>44331</v>
      </c>
      <c r="X10" s="457">
        <v>44515</v>
      </c>
      <c r="Y10" s="457">
        <v>44348</v>
      </c>
      <c r="Z10" s="457">
        <v>44531</v>
      </c>
      <c r="AA10" s="103" t="s">
        <v>2282</v>
      </c>
      <c r="AB10" s="103" t="s">
        <v>2283</v>
      </c>
      <c r="AC10" s="458"/>
      <c r="AD10" s="458" t="s">
        <v>2284</v>
      </c>
      <c r="AE10" s="458" t="s">
        <v>2285</v>
      </c>
      <c r="AF10" s="458"/>
      <c r="AG10" s="459"/>
    </row>
    <row r="11" spans="1:33" ht="15.75" thickBot="1">
      <c r="A11" s="395"/>
      <c r="B11" s="398"/>
      <c r="C11" s="395"/>
      <c r="D11" s="410"/>
      <c r="E11" s="415"/>
      <c r="F11" s="398"/>
      <c r="G11" s="411"/>
      <c r="H11" s="398"/>
      <c r="I11" s="398"/>
      <c r="J11" s="398"/>
      <c r="K11" s="390"/>
      <c r="L11" s="390"/>
      <c r="M11" s="390"/>
      <c r="N11" s="390"/>
      <c r="O11" s="390"/>
      <c r="P11" s="395"/>
      <c r="Q11" s="456"/>
      <c r="R11" s="421"/>
      <c r="S11" s="389"/>
      <c r="T11" s="389"/>
      <c r="U11" s="389"/>
      <c r="V11" s="389"/>
      <c r="W11" s="457"/>
      <c r="X11" s="457"/>
      <c r="Y11" s="457"/>
      <c r="Z11" s="457"/>
      <c r="AA11" s="103" t="s">
        <v>2286</v>
      </c>
      <c r="AB11" s="103" t="s">
        <v>2287</v>
      </c>
      <c r="AC11" s="458"/>
      <c r="AD11" s="458"/>
      <c r="AE11" s="458"/>
      <c r="AF11" s="458"/>
      <c r="AG11" s="459"/>
    </row>
    <row r="12" spans="1:33" ht="15.75" thickBot="1">
      <c r="A12" s="395" t="s">
        <v>2277</v>
      </c>
      <c r="B12" s="398" t="s">
        <v>2278</v>
      </c>
      <c r="C12" s="395" t="s">
        <v>2298</v>
      </c>
      <c r="D12" s="409" t="s">
        <v>344</v>
      </c>
      <c r="E12" s="414" t="str">
        <f>VLOOKUP(D12,OfertaPlazas!B:D,3,FALSE)</f>
        <v>Erlangen</v>
      </c>
      <c r="F12" s="398" t="s">
        <v>2299</v>
      </c>
      <c r="G12" s="411">
        <v>999995408</v>
      </c>
      <c r="H12" s="398" t="s">
        <v>76</v>
      </c>
      <c r="I12" s="398" t="s">
        <v>76</v>
      </c>
      <c r="J12" s="398" t="s">
        <v>76</v>
      </c>
      <c r="K12" s="390" t="s">
        <v>75</v>
      </c>
      <c r="L12" s="390" t="s">
        <v>75</v>
      </c>
      <c r="M12" s="390" t="s">
        <v>76</v>
      </c>
      <c r="N12" s="390" t="s">
        <v>75</v>
      </c>
      <c r="O12" s="390" t="s">
        <v>76</v>
      </c>
      <c r="P12" s="395" t="s">
        <v>2300</v>
      </c>
      <c r="Q12" s="456" t="s">
        <v>75</v>
      </c>
      <c r="R12" s="105" t="s">
        <v>2281</v>
      </c>
      <c r="S12" s="389" t="s">
        <v>2280</v>
      </c>
      <c r="T12" s="389" t="s">
        <v>2280</v>
      </c>
      <c r="U12" s="389">
        <v>1</v>
      </c>
      <c r="V12" s="389">
        <v>1</v>
      </c>
      <c r="W12" s="457">
        <v>44331</v>
      </c>
      <c r="X12" s="457">
        <v>44515</v>
      </c>
      <c r="Y12" s="457">
        <v>44348</v>
      </c>
      <c r="Z12" s="457">
        <v>44531</v>
      </c>
      <c r="AA12" s="103" t="s">
        <v>2282</v>
      </c>
      <c r="AB12" s="103" t="s">
        <v>2283</v>
      </c>
      <c r="AC12" s="458"/>
      <c r="AD12" s="458" t="s">
        <v>2284</v>
      </c>
      <c r="AE12" s="458" t="s">
        <v>2285</v>
      </c>
      <c r="AF12" s="458"/>
      <c r="AG12" s="459" t="s">
        <v>1815</v>
      </c>
    </row>
    <row r="13" spans="1:33" ht="15.75" thickBot="1">
      <c r="A13" s="395"/>
      <c r="B13" s="398"/>
      <c r="C13" s="395"/>
      <c r="D13" s="410"/>
      <c r="E13" s="415"/>
      <c r="F13" s="398"/>
      <c r="G13" s="411"/>
      <c r="H13" s="398"/>
      <c r="I13" s="398"/>
      <c r="J13" s="398"/>
      <c r="K13" s="390"/>
      <c r="L13" s="390"/>
      <c r="M13" s="390"/>
      <c r="N13" s="390"/>
      <c r="O13" s="390"/>
      <c r="P13" s="395"/>
      <c r="Q13" s="456"/>
      <c r="R13" s="105" t="s">
        <v>2301</v>
      </c>
      <c r="S13" s="389"/>
      <c r="T13" s="389"/>
      <c r="U13" s="389"/>
      <c r="V13" s="389"/>
      <c r="W13" s="457"/>
      <c r="X13" s="457"/>
      <c r="Y13" s="457"/>
      <c r="Z13" s="457"/>
      <c r="AA13" s="103" t="s">
        <v>2286</v>
      </c>
      <c r="AB13" s="103" t="s">
        <v>2287</v>
      </c>
      <c r="AC13" s="458"/>
      <c r="AD13" s="458"/>
      <c r="AE13" s="458"/>
      <c r="AF13" s="458"/>
      <c r="AG13" s="459"/>
    </row>
    <row r="14" spans="1:33" ht="15.75" thickBot="1">
      <c r="A14" s="395" t="s">
        <v>2277</v>
      </c>
      <c r="B14" s="398" t="s">
        <v>2278</v>
      </c>
      <c r="C14" s="395" t="s">
        <v>358</v>
      </c>
      <c r="D14" s="409" t="s">
        <v>2006</v>
      </c>
      <c r="E14" s="414" t="e">
        <f>VLOOKUP(D14,OfertaPlazas!B:D,3,FALSE)</f>
        <v>#N/A</v>
      </c>
      <c r="F14" s="398" t="s">
        <v>357</v>
      </c>
      <c r="G14" s="411">
        <v>999838753</v>
      </c>
      <c r="H14" s="398" t="s">
        <v>76</v>
      </c>
      <c r="I14" s="398" t="s">
        <v>76</v>
      </c>
      <c r="J14" s="398" t="s">
        <v>76</v>
      </c>
      <c r="K14" s="390" t="s">
        <v>75</v>
      </c>
      <c r="L14" s="390" t="s">
        <v>75</v>
      </c>
      <c r="M14" s="390" t="s">
        <v>76</v>
      </c>
      <c r="N14" s="390" t="s">
        <v>75</v>
      </c>
      <c r="O14" s="390" t="s">
        <v>76</v>
      </c>
      <c r="P14" s="395" t="s">
        <v>2302</v>
      </c>
      <c r="Q14" s="456" t="s">
        <v>75</v>
      </c>
      <c r="R14" s="105" t="s">
        <v>2281</v>
      </c>
      <c r="S14" s="389" t="s">
        <v>2302</v>
      </c>
      <c r="T14" s="389" t="s">
        <v>2302</v>
      </c>
      <c r="U14" s="389">
        <v>1</v>
      </c>
      <c r="V14" s="389">
        <v>1</v>
      </c>
      <c r="W14" s="457">
        <v>44331</v>
      </c>
      <c r="X14" s="457">
        <v>44515</v>
      </c>
      <c r="Y14" s="457">
        <v>44348</v>
      </c>
      <c r="Z14" s="457">
        <v>44531</v>
      </c>
      <c r="AA14" s="103" t="s">
        <v>2282</v>
      </c>
      <c r="AB14" s="103" t="s">
        <v>2283</v>
      </c>
      <c r="AC14" s="458"/>
      <c r="AD14" s="458" t="s">
        <v>2284</v>
      </c>
      <c r="AE14" s="458" t="s">
        <v>2285</v>
      </c>
      <c r="AF14" s="458"/>
      <c r="AG14" s="459"/>
    </row>
    <row r="15" spans="1:33" ht="15.75" thickBot="1">
      <c r="A15" s="395"/>
      <c r="B15" s="398"/>
      <c r="C15" s="395"/>
      <c r="D15" s="410"/>
      <c r="E15" s="415"/>
      <c r="F15" s="398"/>
      <c r="G15" s="411"/>
      <c r="H15" s="398"/>
      <c r="I15" s="398"/>
      <c r="J15" s="398"/>
      <c r="K15" s="390"/>
      <c r="L15" s="390"/>
      <c r="M15" s="390"/>
      <c r="N15" s="390"/>
      <c r="O15" s="390"/>
      <c r="P15" s="395"/>
      <c r="Q15" s="456"/>
      <c r="R15" s="105" t="s">
        <v>2301</v>
      </c>
      <c r="S15" s="389"/>
      <c r="T15" s="389"/>
      <c r="U15" s="389"/>
      <c r="V15" s="389"/>
      <c r="W15" s="457"/>
      <c r="X15" s="457"/>
      <c r="Y15" s="457"/>
      <c r="Z15" s="457"/>
      <c r="AA15" s="103" t="s">
        <v>2286</v>
      </c>
      <c r="AB15" s="103" t="s">
        <v>2287</v>
      </c>
      <c r="AC15" s="458"/>
      <c r="AD15" s="458"/>
      <c r="AE15" s="458"/>
      <c r="AF15" s="458"/>
      <c r="AG15" s="459"/>
    </row>
    <row r="16" spans="1:33" ht="15.75" thickBot="1">
      <c r="A16" s="395" t="s">
        <v>2277</v>
      </c>
      <c r="B16" s="398" t="s">
        <v>2278</v>
      </c>
      <c r="C16" s="395" t="s">
        <v>372</v>
      </c>
      <c r="D16" s="409" t="s">
        <v>370</v>
      </c>
      <c r="E16" s="414" t="str">
        <f>VLOOKUP(D16,OfertaPlazas!B:D,3,FALSE)</f>
        <v>Kassel</v>
      </c>
      <c r="F16" s="398" t="s">
        <v>370</v>
      </c>
      <c r="G16" s="411">
        <v>999852624</v>
      </c>
      <c r="H16" s="398" t="s">
        <v>76</v>
      </c>
      <c r="I16" s="398" t="s">
        <v>76</v>
      </c>
      <c r="J16" s="398" t="s">
        <v>76</v>
      </c>
      <c r="K16" s="390" t="s">
        <v>75</v>
      </c>
      <c r="L16" s="390" t="s">
        <v>75</v>
      </c>
      <c r="M16" s="390" t="s">
        <v>76</v>
      </c>
      <c r="N16" s="390" t="s">
        <v>75</v>
      </c>
      <c r="O16" s="390" t="s">
        <v>76</v>
      </c>
      <c r="P16" s="395" t="s">
        <v>2297</v>
      </c>
      <c r="Q16" s="456" t="s">
        <v>75</v>
      </c>
      <c r="R16" s="105" t="s">
        <v>2303</v>
      </c>
      <c r="S16" s="389" t="s">
        <v>2297</v>
      </c>
      <c r="T16" s="389" t="s">
        <v>2297</v>
      </c>
      <c r="U16" s="389">
        <v>1</v>
      </c>
      <c r="V16" s="389">
        <v>1</v>
      </c>
      <c r="W16" s="457">
        <v>44331</v>
      </c>
      <c r="X16" s="457">
        <v>44515</v>
      </c>
      <c r="Y16" s="457">
        <v>44348</v>
      </c>
      <c r="Z16" s="457">
        <v>44531</v>
      </c>
      <c r="AA16" s="103" t="s">
        <v>2282</v>
      </c>
      <c r="AB16" s="103" t="s">
        <v>2283</v>
      </c>
      <c r="AC16" s="458"/>
      <c r="AD16" s="458" t="s">
        <v>2284</v>
      </c>
      <c r="AE16" s="458" t="s">
        <v>2285</v>
      </c>
      <c r="AF16" s="458"/>
      <c r="AG16" s="459"/>
    </row>
    <row r="17" spans="1:33" ht="15.75" thickBot="1">
      <c r="A17" s="395"/>
      <c r="B17" s="398"/>
      <c r="C17" s="395"/>
      <c r="D17" s="410"/>
      <c r="E17" s="415"/>
      <c r="F17" s="398"/>
      <c r="G17" s="411"/>
      <c r="H17" s="398"/>
      <c r="I17" s="398"/>
      <c r="J17" s="398"/>
      <c r="K17" s="390"/>
      <c r="L17" s="390"/>
      <c r="M17" s="390"/>
      <c r="N17" s="390"/>
      <c r="O17" s="390"/>
      <c r="P17" s="395"/>
      <c r="Q17" s="456"/>
      <c r="R17" s="105" t="s">
        <v>2294</v>
      </c>
      <c r="S17" s="389"/>
      <c r="T17" s="389"/>
      <c r="U17" s="389"/>
      <c r="V17" s="389"/>
      <c r="W17" s="457"/>
      <c r="X17" s="457"/>
      <c r="Y17" s="457"/>
      <c r="Z17" s="457"/>
      <c r="AA17" s="103" t="s">
        <v>2286</v>
      </c>
      <c r="AB17" s="103" t="s">
        <v>2287</v>
      </c>
      <c r="AC17" s="458"/>
      <c r="AD17" s="458"/>
      <c r="AE17" s="458"/>
      <c r="AF17" s="458"/>
      <c r="AG17" s="459"/>
    </row>
    <row r="18" spans="1:33" ht="15.75" thickBot="1">
      <c r="A18" s="395" t="s">
        <v>2277</v>
      </c>
      <c r="B18" s="398" t="s">
        <v>2278</v>
      </c>
      <c r="C18" s="395" t="s">
        <v>383</v>
      </c>
      <c r="D18" s="416" t="s">
        <v>2304</v>
      </c>
      <c r="E18" s="414" t="e">
        <f>VLOOKUP(D18,OfertaPlazas!B:D,3,FALSE)</f>
        <v>#N/A</v>
      </c>
      <c r="F18" s="398" t="s">
        <v>2305</v>
      </c>
      <c r="G18" s="411">
        <v>974528446</v>
      </c>
      <c r="H18" s="398" t="s">
        <v>76</v>
      </c>
      <c r="I18" s="398" t="s">
        <v>76</v>
      </c>
      <c r="J18" s="398" t="s">
        <v>76</v>
      </c>
      <c r="K18" s="390" t="s">
        <v>75</v>
      </c>
      <c r="L18" s="390" t="s">
        <v>75</v>
      </c>
      <c r="M18" s="390" t="s">
        <v>76</v>
      </c>
      <c r="N18" s="390" t="s">
        <v>75</v>
      </c>
      <c r="O18" s="390" t="s">
        <v>76</v>
      </c>
      <c r="P18" s="395" t="s">
        <v>2306</v>
      </c>
      <c r="Q18" s="456" t="s">
        <v>75</v>
      </c>
      <c r="R18" s="105" t="s">
        <v>2281</v>
      </c>
      <c r="S18" s="389" t="s">
        <v>2307</v>
      </c>
      <c r="T18" s="389" t="s">
        <v>2307</v>
      </c>
      <c r="U18" s="389">
        <v>1</v>
      </c>
      <c r="V18" s="389">
        <v>1</v>
      </c>
      <c r="W18" s="457">
        <v>44331</v>
      </c>
      <c r="X18" s="457">
        <v>44515</v>
      </c>
      <c r="Y18" s="457">
        <v>44348</v>
      </c>
      <c r="Z18" s="457">
        <v>44531</v>
      </c>
      <c r="AA18" s="103" t="s">
        <v>2282</v>
      </c>
      <c r="AB18" s="103" t="s">
        <v>2283</v>
      </c>
      <c r="AC18" s="458"/>
      <c r="AD18" s="458" t="s">
        <v>2284</v>
      </c>
      <c r="AE18" s="458" t="s">
        <v>2285</v>
      </c>
      <c r="AF18" s="458"/>
      <c r="AG18" s="459"/>
    </row>
    <row r="19" spans="1:33" ht="15.75" thickBot="1">
      <c r="A19" s="395"/>
      <c r="B19" s="398"/>
      <c r="C19" s="395"/>
      <c r="D19" s="417"/>
      <c r="E19" s="415"/>
      <c r="F19" s="398"/>
      <c r="G19" s="411"/>
      <c r="H19" s="398"/>
      <c r="I19" s="398"/>
      <c r="J19" s="398"/>
      <c r="K19" s="390"/>
      <c r="L19" s="390"/>
      <c r="M19" s="390"/>
      <c r="N19" s="390"/>
      <c r="O19" s="390"/>
      <c r="P19" s="395"/>
      <c r="Q19" s="456"/>
      <c r="R19" s="105" t="s">
        <v>2301</v>
      </c>
      <c r="S19" s="389"/>
      <c r="T19" s="389"/>
      <c r="U19" s="389"/>
      <c r="V19" s="389"/>
      <c r="W19" s="457"/>
      <c r="X19" s="457"/>
      <c r="Y19" s="457"/>
      <c r="Z19" s="457"/>
      <c r="AA19" s="103" t="s">
        <v>2286</v>
      </c>
      <c r="AB19" s="103" t="s">
        <v>2287</v>
      </c>
      <c r="AC19" s="458"/>
      <c r="AD19" s="458"/>
      <c r="AE19" s="458"/>
      <c r="AF19" s="458"/>
      <c r="AG19" s="459"/>
    </row>
    <row r="20" spans="1:33" ht="15.75" thickBot="1">
      <c r="A20" s="395" t="s">
        <v>2277</v>
      </c>
      <c r="B20" s="398" t="s">
        <v>2278</v>
      </c>
      <c r="C20" s="395" t="s">
        <v>395</v>
      </c>
      <c r="D20" s="409" t="s">
        <v>393</v>
      </c>
      <c r="E20" s="414" t="str">
        <f>VLOOKUP(D20,OfertaPlazas!B:D,3,FALSE)</f>
        <v>München</v>
      </c>
      <c r="F20" s="398" t="s">
        <v>393</v>
      </c>
      <c r="G20" s="411">
        <v>999977463</v>
      </c>
      <c r="H20" s="398" t="s">
        <v>76</v>
      </c>
      <c r="I20" s="398" t="s">
        <v>76</v>
      </c>
      <c r="J20" s="398" t="s">
        <v>76</v>
      </c>
      <c r="K20" s="390" t="s">
        <v>75</v>
      </c>
      <c r="L20" s="390" t="s">
        <v>75</v>
      </c>
      <c r="M20" s="390" t="s">
        <v>75</v>
      </c>
      <c r="N20" s="390" t="s">
        <v>75</v>
      </c>
      <c r="O20" s="390" t="s">
        <v>75</v>
      </c>
      <c r="P20" s="395" t="s">
        <v>2293</v>
      </c>
      <c r="Q20" s="456" t="s">
        <v>75</v>
      </c>
      <c r="R20" s="421" t="s">
        <v>2303</v>
      </c>
      <c r="S20" s="389" t="s">
        <v>2293</v>
      </c>
      <c r="T20" s="389" t="s">
        <v>2293</v>
      </c>
      <c r="U20" s="389">
        <v>1</v>
      </c>
      <c r="V20" s="389">
        <v>1</v>
      </c>
      <c r="W20" s="457">
        <v>44331</v>
      </c>
      <c r="X20" s="457">
        <v>44515</v>
      </c>
      <c r="Y20" s="457">
        <v>44348</v>
      </c>
      <c r="Z20" s="457">
        <v>44531</v>
      </c>
      <c r="AA20" s="103" t="s">
        <v>2282</v>
      </c>
      <c r="AB20" s="103" t="s">
        <v>2283</v>
      </c>
      <c r="AC20" s="458"/>
      <c r="AD20" s="458" t="s">
        <v>2284</v>
      </c>
      <c r="AE20" s="458" t="s">
        <v>2285</v>
      </c>
      <c r="AF20" s="458"/>
      <c r="AG20" s="459"/>
    </row>
    <row r="21" spans="1:33" ht="15.75" thickBot="1">
      <c r="A21" s="395"/>
      <c r="B21" s="398"/>
      <c r="C21" s="395"/>
      <c r="D21" s="410"/>
      <c r="E21" s="415"/>
      <c r="F21" s="398"/>
      <c r="G21" s="411"/>
      <c r="H21" s="398"/>
      <c r="I21" s="398"/>
      <c r="J21" s="398"/>
      <c r="K21" s="390"/>
      <c r="L21" s="390"/>
      <c r="M21" s="390"/>
      <c r="N21" s="390"/>
      <c r="O21" s="390"/>
      <c r="P21" s="395"/>
      <c r="Q21" s="456"/>
      <c r="R21" s="421"/>
      <c r="S21" s="389"/>
      <c r="T21" s="389"/>
      <c r="U21" s="389"/>
      <c r="V21" s="389"/>
      <c r="W21" s="457"/>
      <c r="X21" s="457"/>
      <c r="Y21" s="457"/>
      <c r="Z21" s="457"/>
      <c r="AA21" s="103" t="s">
        <v>2286</v>
      </c>
      <c r="AB21" s="103" t="s">
        <v>2287</v>
      </c>
      <c r="AC21" s="458"/>
      <c r="AD21" s="458"/>
      <c r="AE21" s="458"/>
      <c r="AF21" s="458"/>
      <c r="AG21" s="459"/>
    </row>
    <row r="22" spans="1:33" ht="15.75" thickBot="1">
      <c r="A22" s="395" t="s">
        <v>2277</v>
      </c>
      <c r="B22" s="398" t="s">
        <v>2278</v>
      </c>
      <c r="C22" s="395" t="s">
        <v>2308</v>
      </c>
      <c r="D22" s="410" t="s">
        <v>409</v>
      </c>
      <c r="E22" s="415" t="str">
        <f>VLOOKUP(D22,OfertaPlazas!B:D,3,FALSE)</f>
        <v>Saarbruecken</v>
      </c>
      <c r="F22" s="398" t="s">
        <v>409</v>
      </c>
      <c r="G22" s="411">
        <v>999929545</v>
      </c>
      <c r="H22" s="398" t="s">
        <v>76</v>
      </c>
      <c r="I22" s="398" t="s">
        <v>76</v>
      </c>
      <c r="J22" s="398" t="s">
        <v>76</v>
      </c>
      <c r="K22" s="390" t="s">
        <v>75</v>
      </c>
      <c r="L22" s="390" t="s">
        <v>75</v>
      </c>
      <c r="M22" s="390" t="s">
        <v>76</v>
      </c>
      <c r="N22" s="390" t="s">
        <v>75</v>
      </c>
      <c r="O22" s="390" t="s">
        <v>76</v>
      </c>
      <c r="P22" s="395" t="s">
        <v>2302</v>
      </c>
      <c r="Q22" s="456" t="s">
        <v>75</v>
      </c>
      <c r="R22" s="105" t="s">
        <v>2281</v>
      </c>
      <c r="S22" s="389" t="s">
        <v>2291</v>
      </c>
      <c r="T22" s="389" t="s">
        <v>2291</v>
      </c>
      <c r="U22" s="389">
        <v>1</v>
      </c>
      <c r="V22" s="389">
        <v>1</v>
      </c>
      <c r="W22" s="457">
        <v>44331</v>
      </c>
      <c r="X22" s="457">
        <v>44515</v>
      </c>
      <c r="Y22" s="457">
        <v>44348</v>
      </c>
      <c r="Z22" s="457">
        <v>44531</v>
      </c>
      <c r="AA22" s="103" t="s">
        <v>2282</v>
      </c>
      <c r="AB22" s="103" t="s">
        <v>2283</v>
      </c>
      <c r="AC22" s="458"/>
      <c r="AD22" s="458" t="s">
        <v>2284</v>
      </c>
      <c r="AE22" s="458" t="s">
        <v>2285</v>
      </c>
      <c r="AF22" s="458"/>
      <c r="AG22" s="459"/>
    </row>
    <row r="23" spans="1:33" ht="15.75" thickBot="1">
      <c r="A23" s="395"/>
      <c r="B23" s="398"/>
      <c r="C23" s="395"/>
      <c r="D23" s="410"/>
      <c r="E23" s="415"/>
      <c r="F23" s="398"/>
      <c r="G23" s="411"/>
      <c r="H23" s="398"/>
      <c r="I23" s="398"/>
      <c r="J23" s="398"/>
      <c r="K23" s="390"/>
      <c r="L23" s="390"/>
      <c r="M23" s="390"/>
      <c r="N23" s="390"/>
      <c r="O23" s="390"/>
      <c r="P23" s="395"/>
      <c r="Q23" s="456"/>
      <c r="R23" s="105" t="s">
        <v>2301</v>
      </c>
      <c r="S23" s="389"/>
      <c r="T23" s="389"/>
      <c r="U23" s="389"/>
      <c r="V23" s="389"/>
      <c r="W23" s="457"/>
      <c r="X23" s="457"/>
      <c r="Y23" s="457"/>
      <c r="Z23" s="457"/>
      <c r="AA23" s="103" t="s">
        <v>2286</v>
      </c>
      <c r="AB23" s="103" t="s">
        <v>2287</v>
      </c>
      <c r="AC23" s="458"/>
      <c r="AD23" s="458"/>
      <c r="AE23" s="458"/>
      <c r="AF23" s="458"/>
      <c r="AG23" s="459"/>
    </row>
    <row r="24" spans="1:33" ht="15.75" thickBot="1">
      <c r="A24" s="395"/>
      <c r="B24" s="398"/>
      <c r="C24" s="395"/>
      <c r="D24" s="410"/>
      <c r="E24" s="415"/>
      <c r="F24" s="398"/>
      <c r="G24" s="411"/>
      <c r="H24" s="398"/>
      <c r="I24" s="398"/>
      <c r="J24" s="398"/>
      <c r="K24" s="390"/>
      <c r="L24" s="390"/>
      <c r="M24" s="390"/>
      <c r="N24" s="390"/>
      <c r="O24" s="390"/>
      <c r="P24" s="395"/>
      <c r="Q24" s="456"/>
      <c r="R24" s="105" t="s">
        <v>2294</v>
      </c>
      <c r="S24" s="389"/>
      <c r="T24" s="389"/>
      <c r="U24" s="389"/>
      <c r="V24" s="389"/>
      <c r="W24" s="457"/>
      <c r="X24" s="457"/>
      <c r="Y24" s="457"/>
      <c r="Z24" s="457"/>
      <c r="AA24" s="103"/>
      <c r="AB24" s="103"/>
      <c r="AC24" s="458"/>
      <c r="AD24" s="458"/>
      <c r="AE24" s="458"/>
      <c r="AF24" s="458"/>
      <c r="AG24" s="459"/>
    </row>
    <row r="25" spans="1:33" ht="15.75" thickBot="1">
      <c r="A25" s="395" t="s">
        <v>2277</v>
      </c>
      <c r="B25" s="398" t="s">
        <v>2278</v>
      </c>
      <c r="C25" s="395" t="s">
        <v>2309</v>
      </c>
      <c r="D25" s="409" t="s">
        <v>422</v>
      </c>
      <c r="E25" s="414" t="str">
        <f>VLOOKUP(D25,OfertaPlazas!B:D,3,FALSE)</f>
        <v xml:space="preserve">Stuttgart </v>
      </c>
      <c r="F25" s="398" t="s">
        <v>422</v>
      </c>
      <c r="G25" s="411">
        <v>999974747</v>
      </c>
      <c r="H25" s="398" t="s">
        <v>76</v>
      </c>
      <c r="I25" s="398" t="s">
        <v>76</v>
      </c>
      <c r="J25" s="398" t="s">
        <v>76</v>
      </c>
      <c r="K25" s="390" t="s">
        <v>75</v>
      </c>
      <c r="L25" s="390" t="s">
        <v>75</v>
      </c>
      <c r="M25" s="390" t="s">
        <v>76</v>
      </c>
      <c r="N25" s="390" t="s">
        <v>75</v>
      </c>
      <c r="O25" s="390" t="s">
        <v>76</v>
      </c>
      <c r="P25" s="395" t="s">
        <v>2280</v>
      </c>
      <c r="Q25" s="456" t="s">
        <v>75</v>
      </c>
      <c r="R25" s="105" t="s">
        <v>2281</v>
      </c>
      <c r="S25" s="389" t="s">
        <v>2280</v>
      </c>
      <c r="T25" s="389" t="s">
        <v>2280</v>
      </c>
      <c r="U25" s="389">
        <v>1</v>
      </c>
      <c r="V25" s="389">
        <v>1</v>
      </c>
      <c r="W25" s="457">
        <v>44331</v>
      </c>
      <c r="X25" s="457">
        <v>44515</v>
      </c>
      <c r="Y25" s="457">
        <v>44348</v>
      </c>
      <c r="Z25" s="457">
        <v>44531</v>
      </c>
      <c r="AA25" s="103" t="s">
        <v>2282</v>
      </c>
      <c r="AB25" s="103" t="s">
        <v>2283</v>
      </c>
      <c r="AC25" s="458"/>
      <c r="AD25" s="458" t="s">
        <v>2284</v>
      </c>
      <c r="AE25" s="458" t="s">
        <v>2285</v>
      </c>
      <c r="AF25" s="458"/>
      <c r="AG25" s="459" t="s">
        <v>1815</v>
      </c>
    </row>
    <row r="26" spans="1:33" ht="15.75" thickBot="1">
      <c r="A26" s="395"/>
      <c r="B26" s="398"/>
      <c r="C26" s="395"/>
      <c r="D26" s="410"/>
      <c r="E26" s="415"/>
      <c r="F26" s="398"/>
      <c r="G26" s="411"/>
      <c r="H26" s="398"/>
      <c r="I26" s="398"/>
      <c r="J26" s="398"/>
      <c r="K26" s="390"/>
      <c r="L26" s="390"/>
      <c r="M26" s="390"/>
      <c r="N26" s="390"/>
      <c r="O26" s="390"/>
      <c r="P26" s="395"/>
      <c r="Q26" s="456"/>
      <c r="R26" s="105" t="s">
        <v>2301</v>
      </c>
      <c r="S26" s="389"/>
      <c r="T26" s="389"/>
      <c r="U26" s="389"/>
      <c r="V26" s="389"/>
      <c r="W26" s="457"/>
      <c r="X26" s="457"/>
      <c r="Y26" s="457"/>
      <c r="Z26" s="457"/>
      <c r="AA26" s="103" t="s">
        <v>2286</v>
      </c>
      <c r="AB26" s="103" t="s">
        <v>2287</v>
      </c>
      <c r="AC26" s="458"/>
      <c r="AD26" s="458"/>
      <c r="AE26" s="458"/>
      <c r="AF26" s="458"/>
      <c r="AG26" s="459"/>
    </row>
    <row r="27" spans="1:33" ht="15.75" thickBot="1">
      <c r="A27" s="395" t="s">
        <v>2277</v>
      </c>
      <c r="B27" s="398" t="s">
        <v>2278</v>
      </c>
      <c r="C27" s="395" t="s">
        <v>1837</v>
      </c>
      <c r="D27" s="409" t="s">
        <v>1836</v>
      </c>
      <c r="E27" s="414" t="e">
        <f>VLOOKUP(D27,OfertaPlazas!B:D,3,FALSE)</f>
        <v>#N/A</v>
      </c>
      <c r="F27" s="398" t="s">
        <v>1836</v>
      </c>
      <c r="G27" s="411">
        <v>999882209</v>
      </c>
      <c r="H27" s="398" t="s">
        <v>76</v>
      </c>
      <c r="I27" s="398" t="s">
        <v>76</v>
      </c>
      <c r="J27" s="398" t="s">
        <v>76</v>
      </c>
      <c r="K27" s="390" t="s">
        <v>75</v>
      </c>
      <c r="L27" s="390" t="s">
        <v>75</v>
      </c>
      <c r="M27" s="390" t="s">
        <v>76</v>
      </c>
      <c r="N27" s="390" t="s">
        <v>75</v>
      </c>
      <c r="O27" s="390" t="s">
        <v>76</v>
      </c>
      <c r="P27" s="395" t="s">
        <v>2291</v>
      </c>
      <c r="Q27" s="456" t="s">
        <v>75</v>
      </c>
      <c r="R27" s="105" t="s">
        <v>2281</v>
      </c>
      <c r="S27" s="389" t="s">
        <v>2297</v>
      </c>
      <c r="T27" s="389" t="s">
        <v>2297</v>
      </c>
      <c r="U27" s="389">
        <v>1</v>
      </c>
      <c r="V27" s="389">
        <v>1</v>
      </c>
      <c r="W27" s="457">
        <v>44331</v>
      </c>
      <c r="X27" s="457">
        <v>44515</v>
      </c>
      <c r="Y27" s="457">
        <v>44348</v>
      </c>
      <c r="Z27" s="457">
        <v>44531</v>
      </c>
      <c r="AA27" s="103" t="s">
        <v>2282</v>
      </c>
      <c r="AB27" s="103" t="s">
        <v>2283</v>
      </c>
      <c r="AC27" s="458"/>
      <c r="AD27" s="458" t="s">
        <v>2284</v>
      </c>
      <c r="AE27" s="458" t="s">
        <v>2285</v>
      </c>
      <c r="AF27" s="458"/>
      <c r="AG27" s="459" t="s">
        <v>1846</v>
      </c>
    </row>
    <row r="28" spans="1:33" ht="15.75" thickBot="1">
      <c r="A28" s="395"/>
      <c r="B28" s="398"/>
      <c r="C28" s="395"/>
      <c r="D28" s="410"/>
      <c r="E28" s="415"/>
      <c r="F28" s="398"/>
      <c r="G28" s="411"/>
      <c r="H28" s="398"/>
      <c r="I28" s="398"/>
      <c r="J28" s="398"/>
      <c r="K28" s="390"/>
      <c r="L28" s="390"/>
      <c r="M28" s="390"/>
      <c r="N28" s="390"/>
      <c r="O28" s="390"/>
      <c r="P28" s="395"/>
      <c r="Q28" s="456"/>
      <c r="R28" s="105" t="s">
        <v>2310</v>
      </c>
      <c r="S28" s="389"/>
      <c r="T28" s="389"/>
      <c r="U28" s="389"/>
      <c r="V28" s="389"/>
      <c r="W28" s="457"/>
      <c r="X28" s="457"/>
      <c r="Y28" s="457"/>
      <c r="Z28" s="457"/>
      <c r="AA28" s="103" t="s">
        <v>2286</v>
      </c>
      <c r="AB28" s="103" t="s">
        <v>2287</v>
      </c>
      <c r="AC28" s="458"/>
      <c r="AD28" s="458"/>
      <c r="AE28" s="458"/>
      <c r="AF28" s="458"/>
      <c r="AG28" s="459"/>
    </row>
    <row r="29" spans="1:33" ht="15.75" thickBot="1">
      <c r="A29" s="395" t="s">
        <v>2277</v>
      </c>
      <c r="B29" s="398" t="s">
        <v>2311</v>
      </c>
      <c r="C29" s="395" t="s">
        <v>60</v>
      </c>
      <c r="D29" s="409" t="s">
        <v>59</v>
      </c>
      <c r="E29" s="414" t="str">
        <f>VLOOKUP(D29,OfertaPlazas!B:D,3,FALSE)</f>
        <v>Graz</v>
      </c>
      <c r="F29" s="398" t="s">
        <v>59</v>
      </c>
      <c r="G29" s="411">
        <v>999977948</v>
      </c>
      <c r="H29" s="398" t="s">
        <v>76</v>
      </c>
      <c r="I29" s="398" t="s">
        <v>76</v>
      </c>
      <c r="J29" s="398" t="s">
        <v>76</v>
      </c>
      <c r="K29" s="390" t="s">
        <v>75</v>
      </c>
      <c r="L29" s="390" t="s">
        <v>75</v>
      </c>
      <c r="M29" s="390" t="s">
        <v>76</v>
      </c>
      <c r="N29" s="390" t="s">
        <v>75</v>
      </c>
      <c r="O29" s="390" t="s">
        <v>76</v>
      </c>
      <c r="P29" s="395" t="s">
        <v>2312</v>
      </c>
      <c r="Q29" s="456" t="s">
        <v>75</v>
      </c>
      <c r="R29" s="105" t="s">
        <v>2294</v>
      </c>
      <c r="S29" s="389" t="s">
        <v>2293</v>
      </c>
      <c r="T29" s="389" t="s">
        <v>2293</v>
      </c>
      <c r="U29" s="389">
        <v>1</v>
      </c>
      <c r="V29" s="389">
        <v>1</v>
      </c>
      <c r="W29" s="457">
        <v>44331</v>
      </c>
      <c r="X29" s="457">
        <v>44515</v>
      </c>
      <c r="Y29" s="457">
        <v>44348</v>
      </c>
      <c r="Z29" s="457">
        <v>44531</v>
      </c>
      <c r="AA29" s="103" t="s">
        <v>2282</v>
      </c>
      <c r="AB29" s="103" t="s">
        <v>2283</v>
      </c>
      <c r="AC29" s="458"/>
      <c r="AD29" s="458" t="s">
        <v>2284</v>
      </c>
      <c r="AE29" s="458" t="s">
        <v>2285</v>
      </c>
      <c r="AF29" s="458"/>
      <c r="AG29" s="459"/>
    </row>
    <row r="30" spans="1:33" ht="15.75" thickBot="1">
      <c r="A30" s="395"/>
      <c r="B30" s="398"/>
      <c r="C30" s="395"/>
      <c r="D30" s="410"/>
      <c r="E30" s="415"/>
      <c r="F30" s="398"/>
      <c r="G30" s="411"/>
      <c r="H30" s="398"/>
      <c r="I30" s="398"/>
      <c r="J30" s="398"/>
      <c r="K30" s="390"/>
      <c r="L30" s="390"/>
      <c r="M30" s="390"/>
      <c r="N30" s="390"/>
      <c r="O30" s="390"/>
      <c r="P30" s="395"/>
      <c r="Q30" s="456"/>
      <c r="R30" s="105" t="s">
        <v>2301</v>
      </c>
      <c r="S30" s="389"/>
      <c r="T30" s="389"/>
      <c r="U30" s="389"/>
      <c r="V30" s="389"/>
      <c r="W30" s="457"/>
      <c r="X30" s="457"/>
      <c r="Y30" s="457"/>
      <c r="Z30" s="457"/>
      <c r="AA30" s="103" t="s">
        <v>2286</v>
      </c>
      <c r="AB30" s="103" t="s">
        <v>2287</v>
      </c>
      <c r="AC30" s="458"/>
      <c r="AD30" s="458"/>
      <c r="AE30" s="458"/>
      <c r="AF30" s="458"/>
      <c r="AG30" s="459"/>
    </row>
    <row r="31" spans="1:33" ht="15.75" thickBot="1">
      <c r="A31" s="395" t="s">
        <v>2277</v>
      </c>
      <c r="B31" s="398" t="s">
        <v>2311</v>
      </c>
      <c r="C31" s="395" t="s">
        <v>2313</v>
      </c>
      <c r="D31" s="409" t="s">
        <v>114</v>
      </c>
      <c r="E31" s="414" t="str">
        <f>VLOOKUP(D31,OfertaPlazas!B:D,3,FALSE)</f>
        <v>Viena</v>
      </c>
      <c r="F31" s="398" t="s">
        <v>114</v>
      </c>
      <c r="G31" s="411">
        <v>999979888</v>
      </c>
      <c r="H31" s="398" t="s">
        <v>76</v>
      </c>
      <c r="I31" s="398" t="s">
        <v>76</v>
      </c>
      <c r="J31" s="398" t="s">
        <v>76</v>
      </c>
      <c r="K31" s="390" t="s">
        <v>75</v>
      </c>
      <c r="L31" s="390" t="s">
        <v>75</v>
      </c>
      <c r="M31" s="390" t="s">
        <v>76</v>
      </c>
      <c r="N31" s="390" t="s">
        <v>75</v>
      </c>
      <c r="O31" s="390" t="s">
        <v>76</v>
      </c>
      <c r="P31" s="395" t="s">
        <v>2300</v>
      </c>
      <c r="Q31" s="456" t="s">
        <v>75</v>
      </c>
      <c r="R31" s="105" t="s">
        <v>2281</v>
      </c>
      <c r="S31" s="389" t="s">
        <v>2280</v>
      </c>
      <c r="T31" s="389" t="s">
        <v>2280</v>
      </c>
      <c r="U31" s="389">
        <v>1</v>
      </c>
      <c r="V31" s="389">
        <v>1</v>
      </c>
      <c r="W31" s="457">
        <v>44331</v>
      </c>
      <c r="X31" s="457">
        <v>44515</v>
      </c>
      <c r="Y31" s="457">
        <v>44348</v>
      </c>
      <c r="Z31" s="457">
        <v>44531</v>
      </c>
      <c r="AA31" s="103" t="s">
        <v>2282</v>
      </c>
      <c r="AB31" s="103" t="s">
        <v>2283</v>
      </c>
      <c r="AC31" s="458"/>
      <c r="AD31" s="458" t="s">
        <v>2284</v>
      </c>
      <c r="AE31" s="458" t="s">
        <v>2285</v>
      </c>
      <c r="AF31" s="458"/>
      <c r="AG31" s="459" t="s">
        <v>2314</v>
      </c>
    </row>
    <row r="32" spans="1:33" ht="15.75" thickBot="1">
      <c r="A32" s="395"/>
      <c r="B32" s="398"/>
      <c r="C32" s="395"/>
      <c r="D32" s="410"/>
      <c r="E32" s="415"/>
      <c r="F32" s="398"/>
      <c r="G32" s="411"/>
      <c r="H32" s="398"/>
      <c r="I32" s="398"/>
      <c r="J32" s="398"/>
      <c r="K32" s="390"/>
      <c r="L32" s="390"/>
      <c r="M32" s="390"/>
      <c r="N32" s="390"/>
      <c r="O32" s="390"/>
      <c r="P32" s="395"/>
      <c r="Q32" s="456"/>
      <c r="R32" s="105" t="s">
        <v>2301</v>
      </c>
      <c r="S32" s="389"/>
      <c r="T32" s="389"/>
      <c r="U32" s="389"/>
      <c r="V32" s="389"/>
      <c r="W32" s="457"/>
      <c r="X32" s="457"/>
      <c r="Y32" s="457"/>
      <c r="Z32" s="457"/>
      <c r="AA32" s="103" t="s">
        <v>2286</v>
      </c>
      <c r="AB32" s="103" t="s">
        <v>2287</v>
      </c>
      <c r="AC32" s="458"/>
      <c r="AD32" s="458"/>
      <c r="AE32" s="458"/>
      <c r="AF32" s="458"/>
      <c r="AG32" s="459"/>
    </row>
    <row r="33" spans="1:33" ht="15.75" thickBot="1">
      <c r="A33" s="395" t="s">
        <v>2277</v>
      </c>
      <c r="B33" s="398" t="s">
        <v>2315</v>
      </c>
      <c r="C33" s="395" t="s">
        <v>2316</v>
      </c>
      <c r="D33" s="409" t="s">
        <v>2317</v>
      </c>
      <c r="E33" s="414" t="e">
        <f>VLOOKUP(D33,OfertaPlazas!B:D,3,FALSE)</f>
        <v>#N/A</v>
      </c>
      <c r="F33" s="398" t="s">
        <v>2318</v>
      </c>
      <c r="G33" s="411">
        <v>999986290</v>
      </c>
      <c r="H33" s="398" t="s">
        <v>76</v>
      </c>
      <c r="I33" s="398" t="s">
        <v>76</v>
      </c>
      <c r="J33" s="398" t="s">
        <v>76</v>
      </c>
      <c r="K33" s="390" t="s">
        <v>75</v>
      </c>
      <c r="L33" s="390" t="s">
        <v>75</v>
      </c>
      <c r="M33" s="390" t="s">
        <v>76</v>
      </c>
      <c r="N33" s="390" t="s">
        <v>75</v>
      </c>
      <c r="O33" s="390" t="s">
        <v>76</v>
      </c>
      <c r="P33" s="395" t="s">
        <v>2291</v>
      </c>
      <c r="Q33" s="456" t="s">
        <v>75</v>
      </c>
      <c r="R33" s="105" t="s">
        <v>2281</v>
      </c>
      <c r="S33" s="389" t="s">
        <v>2291</v>
      </c>
      <c r="T33" s="389" t="s">
        <v>2291</v>
      </c>
      <c r="U33" s="389">
        <v>1</v>
      </c>
      <c r="V33" s="389">
        <v>1</v>
      </c>
      <c r="W33" s="457">
        <v>44331</v>
      </c>
      <c r="X33" s="457">
        <v>44515</v>
      </c>
      <c r="Y33" s="457">
        <v>44348</v>
      </c>
      <c r="Z33" s="457">
        <v>44531</v>
      </c>
      <c r="AA33" s="103" t="s">
        <v>2282</v>
      </c>
      <c r="AB33" s="103" t="s">
        <v>2283</v>
      </c>
      <c r="AC33" s="458"/>
      <c r="AD33" s="458" t="s">
        <v>2284</v>
      </c>
      <c r="AE33" s="458" t="s">
        <v>2285</v>
      </c>
      <c r="AF33" s="458"/>
      <c r="AG33" s="459"/>
    </row>
    <row r="34" spans="1:33" ht="15.75" thickBot="1">
      <c r="A34" s="395"/>
      <c r="B34" s="398"/>
      <c r="C34" s="395"/>
      <c r="D34" s="410"/>
      <c r="E34" s="415"/>
      <c r="F34" s="398"/>
      <c r="G34" s="411"/>
      <c r="H34" s="398"/>
      <c r="I34" s="398"/>
      <c r="J34" s="398"/>
      <c r="K34" s="390"/>
      <c r="L34" s="390"/>
      <c r="M34" s="390"/>
      <c r="N34" s="390"/>
      <c r="O34" s="390"/>
      <c r="P34" s="395"/>
      <c r="Q34" s="456"/>
      <c r="R34" s="105" t="s">
        <v>2301</v>
      </c>
      <c r="S34" s="389"/>
      <c r="T34" s="389"/>
      <c r="U34" s="389"/>
      <c r="V34" s="389"/>
      <c r="W34" s="457"/>
      <c r="X34" s="457"/>
      <c r="Y34" s="457"/>
      <c r="Z34" s="457"/>
      <c r="AA34" s="103" t="s">
        <v>2286</v>
      </c>
      <c r="AB34" s="103" t="s">
        <v>2287</v>
      </c>
      <c r="AC34" s="458"/>
      <c r="AD34" s="458"/>
      <c r="AE34" s="458"/>
      <c r="AF34" s="458"/>
      <c r="AG34" s="459"/>
    </row>
    <row r="35" spans="1:33" ht="15.75" thickBot="1">
      <c r="A35" s="395" t="s">
        <v>2277</v>
      </c>
      <c r="B35" s="398" t="s">
        <v>2315</v>
      </c>
      <c r="C35" s="395" t="s">
        <v>150</v>
      </c>
      <c r="D35" s="409" t="s">
        <v>149</v>
      </c>
      <c r="E35" s="414" t="str">
        <f>VLOOKUP(D35,OfertaPlazas!B:D,3,FALSE)</f>
        <v>Gent</v>
      </c>
      <c r="F35" s="398" t="s">
        <v>149</v>
      </c>
      <c r="G35" s="411">
        <v>999986096</v>
      </c>
      <c r="H35" s="398" t="s">
        <v>76</v>
      </c>
      <c r="I35" s="398" t="s">
        <v>76</v>
      </c>
      <c r="J35" s="398" t="s">
        <v>76</v>
      </c>
      <c r="K35" s="390" t="s">
        <v>75</v>
      </c>
      <c r="L35" s="390" t="s">
        <v>75</v>
      </c>
      <c r="M35" s="390" t="s">
        <v>76</v>
      </c>
      <c r="N35" s="390" t="s">
        <v>75</v>
      </c>
      <c r="O35" s="390" t="s">
        <v>76</v>
      </c>
      <c r="P35" s="395" t="s">
        <v>2280</v>
      </c>
      <c r="Q35" s="456" t="s">
        <v>75</v>
      </c>
      <c r="R35" s="105" t="s">
        <v>2281</v>
      </c>
      <c r="S35" s="389" t="s">
        <v>2280</v>
      </c>
      <c r="T35" s="389" t="s">
        <v>2280</v>
      </c>
      <c r="U35" s="389">
        <v>1</v>
      </c>
      <c r="V35" s="389">
        <v>1</v>
      </c>
      <c r="W35" s="457">
        <v>44331</v>
      </c>
      <c r="X35" s="457">
        <v>44515</v>
      </c>
      <c r="Y35" s="457">
        <v>44348</v>
      </c>
      <c r="Z35" s="457">
        <v>44531</v>
      </c>
      <c r="AA35" s="103" t="s">
        <v>2282</v>
      </c>
      <c r="AB35" s="103" t="s">
        <v>2283</v>
      </c>
      <c r="AC35" s="458"/>
      <c r="AD35" s="458" t="s">
        <v>2284</v>
      </c>
      <c r="AE35" s="458" t="s">
        <v>2285</v>
      </c>
      <c r="AF35" s="458"/>
      <c r="AG35" s="459"/>
    </row>
    <row r="36" spans="1:33" ht="15.75" thickBot="1">
      <c r="A36" s="395"/>
      <c r="B36" s="398"/>
      <c r="C36" s="395"/>
      <c r="D36" s="410"/>
      <c r="E36" s="415"/>
      <c r="F36" s="398"/>
      <c r="G36" s="411"/>
      <c r="H36" s="398"/>
      <c r="I36" s="398"/>
      <c r="J36" s="398"/>
      <c r="K36" s="390"/>
      <c r="L36" s="390"/>
      <c r="M36" s="390"/>
      <c r="N36" s="390"/>
      <c r="O36" s="390"/>
      <c r="P36" s="395"/>
      <c r="Q36" s="456"/>
      <c r="R36" s="105" t="s">
        <v>2301</v>
      </c>
      <c r="S36" s="389"/>
      <c r="T36" s="389"/>
      <c r="U36" s="389"/>
      <c r="V36" s="389"/>
      <c r="W36" s="457"/>
      <c r="X36" s="457"/>
      <c r="Y36" s="457"/>
      <c r="Z36" s="457"/>
      <c r="AA36" s="103" t="s">
        <v>2286</v>
      </c>
      <c r="AB36" s="103" t="s">
        <v>2287</v>
      </c>
      <c r="AC36" s="458"/>
      <c r="AD36" s="458"/>
      <c r="AE36" s="458"/>
      <c r="AF36" s="458"/>
      <c r="AG36" s="459"/>
    </row>
    <row r="37" spans="1:33" ht="26.25" thickBot="1">
      <c r="A37" s="106" t="s">
        <v>2277</v>
      </c>
      <c r="B37" s="116" t="s">
        <v>2315</v>
      </c>
      <c r="C37" s="106" t="s">
        <v>150</v>
      </c>
      <c r="D37" s="122"/>
      <c r="E37" s="124"/>
      <c r="F37" s="116" t="s">
        <v>1855</v>
      </c>
      <c r="G37" s="119">
        <v>999986096</v>
      </c>
      <c r="H37" s="116" t="s">
        <v>76</v>
      </c>
      <c r="I37" s="116" t="s">
        <v>76</v>
      </c>
      <c r="J37" s="116" t="s">
        <v>76</v>
      </c>
      <c r="K37" s="107" t="s">
        <v>76</v>
      </c>
      <c r="L37" s="107" t="s">
        <v>75</v>
      </c>
      <c r="M37" s="107" t="s">
        <v>76</v>
      </c>
      <c r="N37" s="107" t="s">
        <v>75</v>
      </c>
      <c r="O37" s="107" t="s">
        <v>76</v>
      </c>
      <c r="P37" s="106">
        <v>0</v>
      </c>
      <c r="Q37" s="108" t="s">
        <v>76</v>
      </c>
      <c r="R37" s="103" t="s">
        <v>2319</v>
      </c>
      <c r="S37" s="109" t="s">
        <v>2320</v>
      </c>
      <c r="T37" s="109"/>
      <c r="U37" s="109"/>
      <c r="V37" s="109"/>
      <c r="W37" s="103"/>
      <c r="X37" s="103"/>
      <c r="Y37" s="103"/>
      <c r="Z37" s="103"/>
      <c r="AA37" s="103"/>
      <c r="AB37" s="103"/>
      <c r="AC37" s="103"/>
      <c r="AD37" s="103"/>
      <c r="AE37" s="103"/>
      <c r="AF37" s="103"/>
      <c r="AG37" s="110"/>
    </row>
    <row r="38" spans="1:33" ht="15.75" thickBot="1">
      <c r="A38" s="395" t="s">
        <v>2277</v>
      </c>
      <c r="B38" s="398" t="s">
        <v>2315</v>
      </c>
      <c r="C38" s="395" t="s">
        <v>166</v>
      </c>
      <c r="D38" s="409" t="s">
        <v>164</v>
      </c>
      <c r="E38" s="414" t="str">
        <f>VLOOKUP(D38,OfertaPlazas!B:D,3,FALSE)</f>
        <v>Leuven</v>
      </c>
      <c r="F38" s="398" t="s">
        <v>2321</v>
      </c>
      <c r="G38" s="411">
        <v>999991334</v>
      </c>
      <c r="H38" s="398" t="s">
        <v>76</v>
      </c>
      <c r="I38" s="398" t="s">
        <v>76</v>
      </c>
      <c r="J38" s="398" t="s">
        <v>76</v>
      </c>
      <c r="K38" s="390" t="s">
        <v>75</v>
      </c>
      <c r="L38" s="390" t="s">
        <v>75</v>
      </c>
      <c r="M38" s="390" t="s">
        <v>76</v>
      </c>
      <c r="N38" s="390" t="s">
        <v>76</v>
      </c>
      <c r="O38" s="390" t="s">
        <v>76</v>
      </c>
      <c r="P38" s="395" t="s">
        <v>2291</v>
      </c>
      <c r="Q38" s="456" t="s">
        <v>75</v>
      </c>
      <c r="R38" s="105" t="s">
        <v>2281</v>
      </c>
      <c r="S38" s="389" t="s">
        <v>2293</v>
      </c>
      <c r="T38" s="389" t="s">
        <v>2293</v>
      </c>
      <c r="U38" s="389">
        <v>1</v>
      </c>
      <c r="V38" s="389">
        <v>1</v>
      </c>
      <c r="W38" s="457">
        <v>44331</v>
      </c>
      <c r="X38" s="457">
        <v>44515</v>
      </c>
      <c r="Y38" s="457">
        <v>44348</v>
      </c>
      <c r="Z38" s="457">
        <v>44531</v>
      </c>
      <c r="AA38" s="103" t="s">
        <v>2282</v>
      </c>
      <c r="AB38" s="103" t="s">
        <v>2283</v>
      </c>
      <c r="AC38" s="458"/>
      <c r="AD38" s="458"/>
      <c r="AE38" s="458" t="s">
        <v>2285</v>
      </c>
      <c r="AF38" s="458"/>
      <c r="AG38" s="459"/>
    </row>
    <row r="39" spans="1:33" ht="15.75" thickBot="1">
      <c r="A39" s="395"/>
      <c r="B39" s="398"/>
      <c r="C39" s="395"/>
      <c r="D39" s="410"/>
      <c r="E39" s="415"/>
      <c r="F39" s="398"/>
      <c r="G39" s="411"/>
      <c r="H39" s="398"/>
      <c r="I39" s="398"/>
      <c r="J39" s="398"/>
      <c r="K39" s="390"/>
      <c r="L39" s="390"/>
      <c r="M39" s="390"/>
      <c r="N39" s="390"/>
      <c r="O39" s="390"/>
      <c r="P39" s="395"/>
      <c r="Q39" s="456"/>
      <c r="R39" s="105" t="s">
        <v>2301</v>
      </c>
      <c r="S39" s="389"/>
      <c r="T39" s="389"/>
      <c r="U39" s="389"/>
      <c r="V39" s="389"/>
      <c r="W39" s="457"/>
      <c r="X39" s="457"/>
      <c r="Y39" s="457"/>
      <c r="Z39" s="457"/>
      <c r="AA39" s="103" t="s">
        <v>2286</v>
      </c>
      <c r="AB39" s="103" t="s">
        <v>2287</v>
      </c>
      <c r="AC39" s="458"/>
      <c r="AD39" s="458"/>
      <c r="AE39" s="458"/>
      <c r="AF39" s="458"/>
      <c r="AG39" s="459"/>
    </row>
    <row r="40" spans="1:33" ht="26.25" thickBot="1">
      <c r="A40" s="106" t="s">
        <v>2277</v>
      </c>
      <c r="B40" s="116" t="s">
        <v>2315</v>
      </c>
      <c r="C40" s="106" t="s">
        <v>166</v>
      </c>
      <c r="D40" s="122"/>
      <c r="E40" s="124"/>
      <c r="F40" s="116" t="s">
        <v>2322</v>
      </c>
      <c r="G40" s="119">
        <v>999991334</v>
      </c>
      <c r="H40" s="116" t="s">
        <v>76</v>
      </c>
      <c r="I40" s="116" t="s">
        <v>76</v>
      </c>
      <c r="J40" s="116" t="s">
        <v>76</v>
      </c>
      <c r="K40" s="107" t="s">
        <v>75</v>
      </c>
      <c r="L40" s="107" t="s">
        <v>75</v>
      </c>
      <c r="M40" s="107" t="s">
        <v>76</v>
      </c>
      <c r="N40" s="107" t="s">
        <v>76</v>
      </c>
      <c r="O40" s="107" t="s">
        <v>76</v>
      </c>
      <c r="P40" s="106">
        <v>0</v>
      </c>
      <c r="Q40" s="108" t="s">
        <v>76</v>
      </c>
      <c r="R40" s="103"/>
      <c r="S40" s="109" t="s">
        <v>2323</v>
      </c>
      <c r="T40" s="109"/>
      <c r="U40" s="109"/>
      <c r="V40" s="109"/>
      <c r="W40" s="103"/>
      <c r="X40" s="103"/>
      <c r="Y40" s="103"/>
      <c r="Z40" s="103"/>
      <c r="AA40" s="103"/>
      <c r="AB40" s="103"/>
      <c r="AC40" s="103"/>
      <c r="AD40" s="103" t="s">
        <v>2284</v>
      </c>
      <c r="AE40" s="103"/>
      <c r="AF40" s="103"/>
      <c r="AG40" s="110"/>
    </row>
    <row r="41" spans="1:33" ht="15.75" thickBot="1">
      <c r="A41" s="395" t="s">
        <v>2277</v>
      </c>
      <c r="B41" s="398" t="s">
        <v>2315</v>
      </c>
      <c r="C41" s="395" t="s">
        <v>2324</v>
      </c>
      <c r="D41" s="409" t="s">
        <v>177</v>
      </c>
      <c r="E41" s="414" t="str">
        <f>VLOOKUP(D41,OfertaPlazas!B:D,3,FALSE)</f>
        <v>Lieja</v>
      </c>
      <c r="F41" s="398" t="s">
        <v>177</v>
      </c>
      <c r="G41" s="411">
        <v>999976105</v>
      </c>
      <c r="H41" s="398" t="s">
        <v>76</v>
      </c>
      <c r="I41" s="398" t="s">
        <v>76</v>
      </c>
      <c r="J41" s="398" t="s">
        <v>76</v>
      </c>
      <c r="K41" s="390" t="s">
        <v>75</v>
      </c>
      <c r="L41" s="390" t="s">
        <v>75</v>
      </c>
      <c r="M41" s="390" t="s">
        <v>76</v>
      </c>
      <c r="N41" s="390" t="s">
        <v>75</v>
      </c>
      <c r="O41" s="390" t="s">
        <v>76</v>
      </c>
      <c r="P41" s="395" t="s">
        <v>2291</v>
      </c>
      <c r="Q41" s="456" t="s">
        <v>75</v>
      </c>
      <c r="R41" s="105" t="s">
        <v>2281</v>
      </c>
      <c r="S41" s="389" t="s">
        <v>2291</v>
      </c>
      <c r="T41" s="389" t="s">
        <v>2291</v>
      </c>
      <c r="U41" s="389">
        <v>1</v>
      </c>
      <c r="V41" s="389">
        <v>1</v>
      </c>
      <c r="W41" s="457">
        <v>44331</v>
      </c>
      <c r="X41" s="457">
        <v>44515</v>
      </c>
      <c r="Y41" s="457">
        <v>44348</v>
      </c>
      <c r="Z41" s="457">
        <v>44531</v>
      </c>
      <c r="AA41" s="103" t="s">
        <v>2282</v>
      </c>
      <c r="AB41" s="103" t="s">
        <v>2283</v>
      </c>
      <c r="AC41" s="458"/>
      <c r="AD41" s="458" t="s">
        <v>2284</v>
      </c>
      <c r="AE41" s="458" t="s">
        <v>2285</v>
      </c>
      <c r="AF41" s="458"/>
      <c r="AG41" s="459"/>
    </row>
    <row r="42" spans="1:33" ht="15.75" thickBot="1">
      <c r="A42" s="395"/>
      <c r="B42" s="398"/>
      <c r="C42" s="395"/>
      <c r="D42" s="410"/>
      <c r="E42" s="415"/>
      <c r="F42" s="398"/>
      <c r="G42" s="411"/>
      <c r="H42" s="398"/>
      <c r="I42" s="398"/>
      <c r="J42" s="398"/>
      <c r="K42" s="390"/>
      <c r="L42" s="390"/>
      <c r="M42" s="390"/>
      <c r="N42" s="390"/>
      <c r="O42" s="390"/>
      <c r="P42" s="395"/>
      <c r="Q42" s="456"/>
      <c r="R42" s="105" t="s">
        <v>2301</v>
      </c>
      <c r="S42" s="389"/>
      <c r="T42" s="389"/>
      <c r="U42" s="389"/>
      <c r="V42" s="389"/>
      <c r="W42" s="457"/>
      <c r="X42" s="457"/>
      <c r="Y42" s="457"/>
      <c r="Z42" s="457"/>
      <c r="AA42" s="103" t="s">
        <v>2286</v>
      </c>
      <c r="AB42" s="103" t="s">
        <v>2287</v>
      </c>
      <c r="AC42" s="458"/>
      <c r="AD42" s="458"/>
      <c r="AE42" s="458"/>
      <c r="AF42" s="458"/>
      <c r="AG42" s="459"/>
    </row>
    <row r="43" spans="1:33" ht="15.75" thickBot="1">
      <c r="A43" s="395" t="s">
        <v>2277</v>
      </c>
      <c r="B43" s="398" t="s">
        <v>2315</v>
      </c>
      <c r="C43" s="395" t="s">
        <v>2325</v>
      </c>
      <c r="D43" s="409" t="s">
        <v>186</v>
      </c>
      <c r="E43" s="414" t="str">
        <f>VLOOKUP(D43,OfertaPlazas!B:D,3,FALSE)</f>
        <v>Louvain-la-Neuve</v>
      </c>
      <c r="F43" s="398" t="s">
        <v>2326</v>
      </c>
      <c r="G43" s="411">
        <v>999980664</v>
      </c>
      <c r="H43" s="398" t="s">
        <v>76</v>
      </c>
      <c r="I43" s="398" t="s">
        <v>76</v>
      </c>
      <c r="J43" s="398" t="s">
        <v>76</v>
      </c>
      <c r="K43" s="390" t="s">
        <v>75</v>
      </c>
      <c r="L43" s="390" t="s">
        <v>75</v>
      </c>
      <c r="M43" s="390" t="s">
        <v>76</v>
      </c>
      <c r="N43" s="390" t="s">
        <v>75</v>
      </c>
      <c r="O43" s="390" t="s">
        <v>76</v>
      </c>
      <c r="P43" s="395" t="s">
        <v>2291</v>
      </c>
      <c r="Q43" s="456" t="s">
        <v>75</v>
      </c>
      <c r="R43" s="421" t="s">
        <v>2303</v>
      </c>
      <c r="S43" s="389" t="s">
        <v>2291</v>
      </c>
      <c r="T43" s="389" t="s">
        <v>2291</v>
      </c>
      <c r="U43" s="389">
        <v>1</v>
      </c>
      <c r="V43" s="389">
        <v>1</v>
      </c>
      <c r="W43" s="457">
        <v>44331</v>
      </c>
      <c r="X43" s="457">
        <v>44515</v>
      </c>
      <c r="Y43" s="457">
        <v>44348</v>
      </c>
      <c r="Z43" s="457">
        <v>44531</v>
      </c>
      <c r="AA43" s="103" t="s">
        <v>2282</v>
      </c>
      <c r="AB43" s="103" t="s">
        <v>2283</v>
      </c>
      <c r="AC43" s="458"/>
      <c r="AD43" s="458" t="s">
        <v>2284</v>
      </c>
      <c r="AE43" s="458" t="s">
        <v>2285</v>
      </c>
      <c r="AF43" s="458"/>
      <c r="AG43" s="459"/>
    </row>
    <row r="44" spans="1:33" ht="15.75" thickBot="1">
      <c r="A44" s="395"/>
      <c r="B44" s="398"/>
      <c r="C44" s="395"/>
      <c r="D44" s="410"/>
      <c r="E44" s="415"/>
      <c r="F44" s="398"/>
      <c r="G44" s="411"/>
      <c r="H44" s="398"/>
      <c r="I44" s="398"/>
      <c r="J44" s="398"/>
      <c r="K44" s="390"/>
      <c r="L44" s="390"/>
      <c r="M44" s="390"/>
      <c r="N44" s="390"/>
      <c r="O44" s="390"/>
      <c r="P44" s="395"/>
      <c r="Q44" s="456"/>
      <c r="R44" s="421"/>
      <c r="S44" s="389"/>
      <c r="T44" s="389"/>
      <c r="U44" s="389"/>
      <c r="V44" s="389"/>
      <c r="W44" s="457"/>
      <c r="X44" s="457"/>
      <c r="Y44" s="457"/>
      <c r="Z44" s="457"/>
      <c r="AA44" s="103" t="s">
        <v>2286</v>
      </c>
      <c r="AB44" s="103" t="s">
        <v>2287</v>
      </c>
      <c r="AC44" s="458"/>
      <c r="AD44" s="458"/>
      <c r="AE44" s="458"/>
      <c r="AF44" s="458"/>
      <c r="AG44" s="459"/>
    </row>
    <row r="45" spans="1:33" ht="15.75" thickBot="1">
      <c r="A45" s="395" t="s">
        <v>2277</v>
      </c>
      <c r="B45" s="398" t="s">
        <v>2327</v>
      </c>
      <c r="C45" s="395" t="s">
        <v>2328</v>
      </c>
      <c r="D45" s="409" t="s">
        <v>201</v>
      </c>
      <c r="E45" s="414" t="str">
        <f>VLOOKUP(D45,OfertaPlazas!B:D,3,FALSE)</f>
        <v>Ruse</v>
      </c>
      <c r="F45" s="398" t="s">
        <v>2329</v>
      </c>
      <c r="G45" s="411">
        <v>999842633</v>
      </c>
      <c r="H45" s="398" t="s">
        <v>76</v>
      </c>
      <c r="I45" s="398" t="s">
        <v>76</v>
      </c>
      <c r="J45" s="398" t="s">
        <v>76</v>
      </c>
      <c r="K45" s="390" t="s">
        <v>75</v>
      </c>
      <c r="L45" s="390" t="s">
        <v>75</v>
      </c>
      <c r="M45" s="390" t="s">
        <v>76</v>
      </c>
      <c r="N45" s="390" t="s">
        <v>75</v>
      </c>
      <c r="O45" s="390" t="s">
        <v>76</v>
      </c>
      <c r="P45" s="395" t="s">
        <v>2330</v>
      </c>
      <c r="Q45" s="456" t="s">
        <v>75</v>
      </c>
      <c r="R45" s="421" t="s">
        <v>2281</v>
      </c>
      <c r="S45" s="389" t="s">
        <v>2297</v>
      </c>
      <c r="T45" s="389" t="s">
        <v>2297</v>
      </c>
      <c r="U45" s="389">
        <v>1</v>
      </c>
      <c r="V45" s="389">
        <v>1</v>
      </c>
      <c r="W45" s="457">
        <v>44331</v>
      </c>
      <c r="X45" s="457">
        <v>44515</v>
      </c>
      <c r="Y45" s="457">
        <v>44348</v>
      </c>
      <c r="Z45" s="457">
        <v>44531</v>
      </c>
      <c r="AA45" s="103" t="s">
        <v>2282</v>
      </c>
      <c r="AB45" s="103" t="s">
        <v>2283</v>
      </c>
      <c r="AC45" s="458"/>
      <c r="AD45" s="458" t="s">
        <v>2284</v>
      </c>
      <c r="AE45" s="458" t="s">
        <v>2285</v>
      </c>
      <c r="AF45" s="458"/>
      <c r="AG45" s="459"/>
    </row>
    <row r="46" spans="1:33" ht="15.75" thickBot="1">
      <c r="A46" s="395"/>
      <c r="B46" s="398"/>
      <c r="C46" s="395"/>
      <c r="D46" s="410"/>
      <c r="E46" s="415"/>
      <c r="F46" s="398"/>
      <c r="G46" s="411"/>
      <c r="H46" s="398"/>
      <c r="I46" s="398"/>
      <c r="J46" s="398"/>
      <c r="K46" s="390"/>
      <c r="L46" s="390"/>
      <c r="M46" s="390"/>
      <c r="N46" s="390"/>
      <c r="O46" s="390"/>
      <c r="P46" s="395"/>
      <c r="Q46" s="456"/>
      <c r="R46" s="421"/>
      <c r="S46" s="389"/>
      <c r="T46" s="389"/>
      <c r="U46" s="389"/>
      <c r="V46" s="389"/>
      <c r="W46" s="457"/>
      <c r="X46" s="457"/>
      <c r="Y46" s="457"/>
      <c r="Z46" s="457"/>
      <c r="AA46" s="103" t="s">
        <v>2286</v>
      </c>
      <c r="AB46" s="103" t="s">
        <v>2287</v>
      </c>
      <c r="AC46" s="458"/>
      <c r="AD46" s="458"/>
      <c r="AE46" s="458"/>
      <c r="AF46" s="458"/>
      <c r="AG46" s="459"/>
    </row>
    <row r="47" spans="1:33" ht="15.75" thickBot="1">
      <c r="A47" s="395" t="s">
        <v>2277</v>
      </c>
      <c r="B47" s="398" t="s">
        <v>2327</v>
      </c>
      <c r="C47" s="395" t="s">
        <v>216</v>
      </c>
      <c r="D47" s="409" t="s">
        <v>214</v>
      </c>
      <c r="E47" s="414" t="str">
        <f>VLOOKUP(D47,OfertaPlazas!B:D,3,FALSE)</f>
        <v>Sofia</v>
      </c>
      <c r="F47" s="398" t="s">
        <v>215</v>
      </c>
      <c r="G47" s="411">
        <v>999868532</v>
      </c>
      <c r="H47" s="398" t="s">
        <v>76</v>
      </c>
      <c r="I47" s="398" t="s">
        <v>76</v>
      </c>
      <c r="J47" s="398" t="s">
        <v>76</v>
      </c>
      <c r="K47" s="390" t="s">
        <v>75</v>
      </c>
      <c r="L47" s="390" t="s">
        <v>75</v>
      </c>
      <c r="M47" s="390" t="s">
        <v>75</v>
      </c>
      <c r="N47" s="390" t="s">
        <v>75</v>
      </c>
      <c r="O47" s="390" t="s">
        <v>76</v>
      </c>
      <c r="P47" s="395" t="s">
        <v>2291</v>
      </c>
      <c r="Q47" s="456" t="s">
        <v>75</v>
      </c>
      <c r="R47" s="421" t="s">
        <v>2281</v>
      </c>
      <c r="S47" s="389" t="s">
        <v>2291</v>
      </c>
      <c r="T47" s="389" t="s">
        <v>2291</v>
      </c>
      <c r="U47" s="389">
        <v>1</v>
      </c>
      <c r="V47" s="389">
        <v>1</v>
      </c>
      <c r="W47" s="457">
        <v>44331</v>
      </c>
      <c r="X47" s="457">
        <v>44515</v>
      </c>
      <c r="Y47" s="457">
        <v>44348</v>
      </c>
      <c r="Z47" s="457">
        <v>44531</v>
      </c>
      <c r="AA47" s="103" t="s">
        <v>2282</v>
      </c>
      <c r="AB47" s="103" t="s">
        <v>2283</v>
      </c>
      <c r="AC47" s="458"/>
      <c r="AD47" s="458" t="s">
        <v>2284</v>
      </c>
      <c r="AE47" s="458" t="s">
        <v>2285</v>
      </c>
      <c r="AF47" s="458"/>
      <c r="AG47" s="459"/>
    </row>
    <row r="48" spans="1:33" ht="15.75" thickBot="1">
      <c r="A48" s="395"/>
      <c r="B48" s="398"/>
      <c r="C48" s="395"/>
      <c r="D48" s="410"/>
      <c r="E48" s="415"/>
      <c r="F48" s="398"/>
      <c r="G48" s="411"/>
      <c r="H48" s="398"/>
      <c r="I48" s="398"/>
      <c r="J48" s="398"/>
      <c r="K48" s="390"/>
      <c r="L48" s="390"/>
      <c r="M48" s="390"/>
      <c r="N48" s="390"/>
      <c r="O48" s="390"/>
      <c r="P48" s="395"/>
      <c r="Q48" s="456"/>
      <c r="R48" s="421"/>
      <c r="S48" s="389"/>
      <c r="T48" s="389"/>
      <c r="U48" s="389"/>
      <c r="V48" s="389"/>
      <c r="W48" s="457"/>
      <c r="X48" s="457"/>
      <c r="Y48" s="457"/>
      <c r="Z48" s="457"/>
      <c r="AA48" s="103" t="s">
        <v>2286</v>
      </c>
      <c r="AB48" s="103" t="s">
        <v>2287</v>
      </c>
      <c r="AC48" s="458"/>
      <c r="AD48" s="458"/>
      <c r="AE48" s="458"/>
      <c r="AF48" s="458"/>
      <c r="AG48" s="459"/>
    </row>
    <row r="49" spans="1:33" ht="15.75" thickBot="1">
      <c r="A49" s="395" t="s">
        <v>2277</v>
      </c>
      <c r="B49" s="398" t="s">
        <v>2331</v>
      </c>
      <c r="C49" s="395" t="s">
        <v>2332</v>
      </c>
      <c r="D49" s="409" t="s">
        <v>436</v>
      </c>
      <c r="E49" s="414" t="str">
        <f>VLOOKUP(D49,OfertaPlazas!B:D,3,FALSE)</f>
        <v>Aalborg</v>
      </c>
      <c r="F49" s="398" t="s">
        <v>2333</v>
      </c>
      <c r="G49" s="411">
        <v>999904034</v>
      </c>
      <c r="H49" s="398" t="s">
        <v>76</v>
      </c>
      <c r="I49" s="398" t="s">
        <v>76</v>
      </c>
      <c r="J49" s="398" t="s">
        <v>76</v>
      </c>
      <c r="K49" s="390" t="s">
        <v>75</v>
      </c>
      <c r="L49" s="390" t="s">
        <v>75</v>
      </c>
      <c r="M49" s="390" t="s">
        <v>76</v>
      </c>
      <c r="N49" s="390" t="s">
        <v>75</v>
      </c>
      <c r="O49" s="390" t="s">
        <v>76</v>
      </c>
      <c r="P49" s="395" t="s">
        <v>2330</v>
      </c>
      <c r="Q49" s="456" t="s">
        <v>75</v>
      </c>
      <c r="R49" s="421" t="s">
        <v>2281</v>
      </c>
      <c r="S49" s="389" t="s">
        <v>2297</v>
      </c>
      <c r="T49" s="389" t="s">
        <v>2297</v>
      </c>
      <c r="U49" s="389">
        <v>1</v>
      </c>
      <c r="V49" s="389">
        <v>1</v>
      </c>
      <c r="W49" s="457">
        <v>44331</v>
      </c>
      <c r="X49" s="457">
        <v>44515</v>
      </c>
      <c r="Y49" s="457">
        <v>44348</v>
      </c>
      <c r="Z49" s="457">
        <v>44531</v>
      </c>
      <c r="AA49" s="103" t="s">
        <v>2282</v>
      </c>
      <c r="AB49" s="103" t="s">
        <v>2283</v>
      </c>
      <c r="AC49" s="458"/>
      <c r="AD49" s="458" t="s">
        <v>2284</v>
      </c>
      <c r="AE49" s="458" t="s">
        <v>2285</v>
      </c>
      <c r="AF49" s="458"/>
      <c r="AG49" s="459"/>
    </row>
    <row r="50" spans="1:33" ht="15.75" thickBot="1">
      <c r="A50" s="395"/>
      <c r="B50" s="398"/>
      <c r="C50" s="395"/>
      <c r="D50" s="410"/>
      <c r="E50" s="415"/>
      <c r="F50" s="398"/>
      <c r="G50" s="411"/>
      <c r="H50" s="398"/>
      <c r="I50" s="398"/>
      <c r="J50" s="398"/>
      <c r="K50" s="390"/>
      <c r="L50" s="390"/>
      <c r="M50" s="390"/>
      <c r="N50" s="390"/>
      <c r="O50" s="390"/>
      <c r="P50" s="395"/>
      <c r="Q50" s="456"/>
      <c r="R50" s="421"/>
      <c r="S50" s="389"/>
      <c r="T50" s="389"/>
      <c r="U50" s="389"/>
      <c r="V50" s="389"/>
      <c r="W50" s="457"/>
      <c r="X50" s="457"/>
      <c r="Y50" s="457"/>
      <c r="Z50" s="457"/>
      <c r="AA50" s="103" t="s">
        <v>2286</v>
      </c>
      <c r="AB50" s="103" t="s">
        <v>2287</v>
      </c>
      <c r="AC50" s="458"/>
      <c r="AD50" s="458"/>
      <c r="AE50" s="458"/>
      <c r="AF50" s="458"/>
      <c r="AG50" s="459"/>
    </row>
    <row r="51" spans="1:33" ht="15.75" thickBot="1">
      <c r="A51" s="395" t="s">
        <v>2277</v>
      </c>
      <c r="B51" s="398" t="s">
        <v>2331</v>
      </c>
      <c r="C51" s="395" t="s">
        <v>2334</v>
      </c>
      <c r="D51" s="410" t="s">
        <v>2109</v>
      </c>
      <c r="E51" s="415" t="e">
        <f>VLOOKUP(D51,OfertaPlazas!B:D,3,FALSE)</f>
        <v>#N/A</v>
      </c>
      <c r="F51" s="398" t="s">
        <v>450</v>
      </c>
      <c r="G51" s="411">
        <v>999990655</v>
      </c>
      <c r="H51" s="398" t="s">
        <v>76</v>
      </c>
      <c r="I51" s="398" t="s">
        <v>76</v>
      </c>
      <c r="J51" s="398" t="s">
        <v>76</v>
      </c>
      <c r="K51" s="390" t="s">
        <v>75</v>
      </c>
      <c r="L51" s="390" t="s">
        <v>75</v>
      </c>
      <c r="M51" s="390" t="s">
        <v>76</v>
      </c>
      <c r="N51" s="390" t="s">
        <v>75</v>
      </c>
      <c r="O51" s="390" t="s">
        <v>76</v>
      </c>
      <c r="P51" s="395" t="s">
        <v>2290</v>
      </c>
      <c r="Q51" s="456" t="s">
        <v>75</v>
      </c>
      <c r="R51" s="105" t="s">
        <v>2281</v>
      </c>
      <c r="S51" s="389" t="s">
        <v>2291</v>
      </c>
      <c r="T51" s="389" t="s">
        <v>2291</v>
      </c>
      <c r="U51" s="389">
        <v>1</v>
      </c>
      <c r="V51" s="389">
        <v>1</v>
      </c>
      <c r="W51" s="457">
        <v>44331</v>
      </c>
      <c r="X51" s="457">
        <v>44515</v>
      </c>
      <c r="Y51" s="457">
        <v>44348</v>
      </c>
      <c r="Z51" s="457">
        <v>44531</v>
      </c>
      <c r="AA51" s="103" t="s">
        <v>2282</v>
      </c>
      <c r="AB51" s="103" t="s">
        <v>2283</v>
      </c>
      <c r="AC51" s="458"/>
      <c r="AD51" s="458" t="s">
        <v>2284</v>
      </c>
      <c r="AE51" s="458" t="s">
        <v>2285</v>
      </c>
      <c r="AF51" s="458"/>
      <c r="AG51" s="459" t="s">
        <v>1815</v>
      </c>
    </row>
    <row r="52" spans="1:33" ht="15.75" thickBot="1">
      <c r="A52" s="395"/>
      <c r="B52" s="398"/>
      <c r="C52" s="395"/>
      <c r="D52" s="410"/>
      <c r="E52" s="415"/>
      <c r="F52" s="398"/>
      <c r="G52" s="411"/>
      <c r="H52" s="398"/>
      <c r="I52" s="398"/>
      <c r="J52" s="398"/>
      <c r="K52" s="390"/>
      <c r="L52" s="390"/>
      <c r="M52" s="390"/>
      <c r="N52" s="390"/>
      <c r="O52" s="390"/>
      <c r="P52" s="395"/>
      <c r="Q52" s="456"/>
      <c r="R52" s="105" t="s">
        <v>2294</v>
      </c>
      <c r="S52" s="389"/>
      <c r="T52" s="389"/>
      <c r="U52" s="389"/>
      <c r="V52" s="389"/>
      <c r="W52" s="457"/>
      <c r="X52" s="457"/>
      <c r="Y52" s="457"/>
      <c r="Z52" s="457"/>
      <c r="AA52" s="103" t="s">
        <v>2286</v>
      </c>
      <c r="AB52" s="103" t="s">
        <v>2287</v>
      </c>
      <c r="AC52" s="458"/>
      <c r="AD52" s="458"/>
      <c r="AE52" s="458"/>
      <c r="AF52" s="458"/>
      <c r="AG52" s="459"/>
    </row>
    <row r="53" spans="1:33" ht="15.75" thickBot="1">
      <c r="A53" s="395"/>
      <c r="B53" s="398"/>
      <c r="C53" s="395"/>
      <c r="D53" s="410"/>
      <c r="E53" s="415"/>
      <c r="F53" s="398"/>
      <c r="G53" s="411"/>
      <c r="H53" s="398"/>
      <c r="I53" s="398"/>
      <c r="J53" s="398"/>
      <c r="K53" s="390"/>
      <c r="L53" s="390"/>
      <c r="M53" s="390"/>
      <c r="N53" s="390"/>
      <c r="O53" s="390"/>
      <c r="P53" s="395"/>
      <c r="Q53" s="456"/>
      <c r="R53" s="105" t="s">
        <v>2301</v>
      </c>
      <c r="S53" s="389"/>
      <c r="T53" s="389"/>
      <c r="U53" s="389"/>
      <c r="V53" s="389"/>
      <c r="W53" s="457"/>
      <c r="X53" s="457"/>
      <c r="Y53" s="457"/>
      <c r="Z53" s="457"/>
      <c r="AA53" s="103"/>
      <c r="AB53" s="103"/>
      <c r="AC53" s="458"/>
      <c r="AD53" s="458"/>
      <c r="AE53" s="458"/>
      <c r="AF53" s="458"/>
      <c r="AG53" s="459"/>
    </row>
    <row r="54" spans="1:33" ht="26.25" thickBot="1">
      <c r="A54" s="106" t="s">
        <v>2277</v>
      </c>
      <c r="B54" s="116" t="s">
        <v>2331</v>
      </c>
      <c r="C54" s="106" t="s">
        <v>2334</v>
      </c>
      <c r="D54" s="122"/>
      <c r="E54" s="124"/>
      <c r="F54" s="116" t="s">
        <v>2335</v>
      </c>
      <c r="G54" s="119">
        <v>999990655</v>
      </c>
      <c r="H54" s="116" t="s">
        <v>76</v>
      </c>
      <c r="I54" s="116" t="s">
        <v>76</v>
      </c>
      <c r="J54" s="116" t="s">
        <v>76</v>
      </c>
      <c r="K54" s="107" t="s">
        <v>75</v>
      </c>
      <c r="L54" s="107" t="s">
        <v>75</v>
      </c>
      <c r="M54" s="107" t="s">
        <v>76</v>
      </c>
      <c r="N54" s="107" t="s">
        <v>75</v>
      </c>
      <c r="O54" s="107" t="s">
        <v>76</v>
      </c>
      <c r="P54" s="106">
        <v>0</v>
      </c>
      <c r="Q54" s="108" t="s">
        <v>76</v>
      </c>
      <c r="R54" s="105"/>
      <c r="S54" s="109" t="s">
        <v>2323</v>
      </c>
      <c r="T54" s="109"/>
      <c r="U54" s="109"/>
      <c r="V54" s="109"/>
      <c r="W54" s="103"/>
      <c r="X54" s="103"/>
      <c r="Y54" s="103"/>
      <c r="Z54" s="103"/>
      <c r="AA54" s="103"/>
      <c r="AB54" s="103"/>
      <c r="AC54" s="103"/>
      <c r="AD54" s="103"/>
      <c r="AE54" s="103"/>
      <c r="AF54" s="103"/>
      <c r="AG54" s="110"/>
    </row>
    <row r="55" spans="1:33" ht="15.75" thickBot="1">
      <c r="A55" s="395" t="s">
        <v>2277</v>
      </c>
      <c r="B55" s="398" t="s">
        <v>2336</v>
      </c>
      <c r="C55" s="395" t="s">
        <v>1335</v>
      </c>
      <c r="D55" s="409" t="s">
        <v>1333</v>
      </c>
      <c r="E55" s="414" t="str">
        <f>VLOOKUP(D55,OfertaPlazas!B:D,3,FALSE)</f>
        <v>Ljubljana</v>
      </c>
      <c r="F55" s="398" t="s">
        <v>2337</v>
      </c>
      <c r="G55" s="411">
        <v>999923240</v>
      </c>
      <c r="H55" s="398" t="s">
        <v>76</v>
      </c>
      <c r="I55" s="398" t="s">
        <v>76</v>
      </c>
      <c r="J55" s="398" t="s">
        <v>76</v>
      </c>
      <c r="K55" s="390" t="s">
        <v>75</v>
      </c>
      <c r="L55" s="390" t="s">
        <v>75</v>
      </c>
      <c r="M55" s="390" t="s">
        <v>76</v>
      </c>
      <c r="N55" s="390" t="s">
        <v>75</v>
      </c>
      <c r="O55" s="390" t="s">
        <v>76</v>
      </c>
      <c r="P55" s="395" t="s">
        <v>2291</v>
      </c>
      <c r="Q55" s="456" t="s">
        <v>75</v>
      </c>
      <c r="R55" s="105" t="s">
        <v>2281</v>
      </c>
      <c r="S55" s="389" t="s">
        <v>2291</v>
      </c>
      <c r="T55" s="389" t="s">
        <v>2291</v>
      </c>
      <c r="U55" s="389">
        <v>1</v>
      </c>
      <c r="V55" s="389">
        <v>1</v>
      </c>
      <c r="W55" s="457">
        <v>44331</v>
      </c>
      <c r="X55" s="457">
        <v>44515</v>
      </c>
      <c r="Y55" s="457">
        <v>44348</v>
      </c>
      <c r="Z55" s="457">
        <v>44531</v>
      </c>
      <c r="AA55" s="103" t="s">
        <v>2282</v>
      </c>
      <c r="AB55" s="103" t="s">
        <v>2283</v>
      </c>
      <c r="AC55" s="458"/>
      <c r="AD55" s="458" t="s">
        <v>2284</v>
      </c>
      <c r="AE55" s="458" t="s">
        <v>2285</v>
      </c>
      <c r="AF55" s="458"/>
      <c r="AG55" s="459"/>
    </row>
    <row r="56" spans="1:33" ht="15.75" thickBot="1">
      <c r="A56" s="395"/>
      <c r="B56" s="398"/>
      <c r="C56" s="395"/>
      <c r="D56" s="410"/>
      <c r="E56" s="415"/>
      <c r="F56" s="398"/>
      <c r="G56" s="411"/>
      <c r="H56" s="398"/>
      <c r="I56" s="398"/>
      <c r="J56" s="398"/>
      <c r="K56" s="390"/>
      <c r="L56" s="390"/>
      <c r="M56" s="390"/>
      <c r="N56" s="390"/>
      <c r="O56" s="390"/>
      <c r="P56" s="395"/>
      <c r="Q56" s="456"/>
      <c r="R56" s="105" t="s">
        <v>2301</v>
      </c>
      <c r="S56" s="389"/>
      <c r="T56" s="389"/>
      <c r="U56" s="389"/>
      <c r="V56" s="389"/>
      <c r="W56" s="457"/>
      <c r="X56" s="457"/>
      <c r="Y56" s="457"/>
      <c r="Z56" s="457"/>
      <c r="AA56" s="103" t="s">
        <v>2286</v>
      </c>
      <c r="AB56" s="103" t="s">
        <v>2287</v>
      </c>
      <c r="AC56" s="458"/>
      <c r="AD56" s="458"/>
      <c r="AE56" s="458"/>
      <c r="AF56" s="458"/>
      <c r="AG56" s="459"/>
    </row>
    <row r="57" spans="1:33" ht="15.75" thickBot="1">
      <c r="A57" s="395" t="s">
        <v>2277</v>
      </c>
      <c r="B57" s="398" t="s">
        <v>2338</v>
      </c>
      <c r="C57" s="395" t="s">
        <v>2339</v>
      </c>
      <c r="D57" s="416" t="s">
        <v>1298</v>
      </c>
      <c r="E57" s="414" t="str">
        <f>VLOOKUP(D57,OfertaPlazas!B:D,3,FALSE)</f>
        <v>Helsinki</v>
      </c>
      <c r="F57" s="398" t="s">
        <v>2340</v>
      </c>
      <c r="G57" s="411">
        <v>991256096</v>
      </c>
      <c r="H57" s="398" t="s">
        <v>76</v>
      </c>
      <c r="I57" s="398" t="s">
        <v>76</v>
      </c>
      <c r="J57" s="398" t="s">
        <v>76</v>
      </c>
      <c r="K57" s="390" t="s">
        <v>75</v>
      </c>
      <c r="L57" s="390" t="s">
        <v>75</v>
      </c>
      <c r="M57" s="390" t="s">
        <v>76</v>
      </c>
      <c r="N57" s="390" t="s">
        <v>75</v>
      </c>
      <c r="O57" s="390" t="s">
        <v>76</v>
      </c>
      <c r="P57" s="395" t="s">
        <v>2341</v>
      </c>
      <c r="Q57" s="456" t="s">
        <v>75</v>
      </c>
      <c r="R57" s="421" t="s">
        <v>2281</v>
      </c>
      <c r="S57" s="389" t="s">
        <v>2297</v>
      </c>
      <c r="T57" s="389" t="s">
        <v>2297</v>
      </c>
      <c r="U57" s="389">
        <v>1</v>
      </c>
      <c r="V57" s="389">
        <v>1</v>
      </c>
      <c r="W57" s="457">
        <v>44331</v>
      </c>
      <c r="X57" s="457">
        <v>44515</v>
      </c>
      <c r="Y57" s="457">
        <v>44348</v>
      </c>
      <c r="Z57" s="457">
        <v>44531</v>
      </c>
      <c r="AA57" s="103" t="s">
        <v>2282</v>
      </c>
      <c r="AB57" s="103" t="s">
        <v>2283</v>
      </c>
      <c r="AC57" s="458"/>
      <c r="AD57" s="458" t="s">
        <v>2284</v>
      </c>
      <c r="AE57" s="458" t="s">
        <v>2285</v>
      </c>
      <c r="AF57" s="458"/>
      <c r="AG57" s="459"/>
    </row>
    <row r="58" spans="1:33" ht="15.75" thickBot="1">
      <c r="A58" s="395"/>
      <c r="B58" s="398"/>
      <c r="C58" s="395"/>
      <c r="D58" s="417"/>
      <c r="E58" s="415"/>
      <c r="F58" s="398"/>
      <c r="G58" s="411"/>
      <c r="H58" s="398"/>
      <c r="I58" s="398"/>
      <c r="J58" s="398"/>
      <c r="K58" s="390"/>
      <c r="L58" s="390"/>
      <c r="M58" s="390"/>
      <c r="N58" s="390"/>
      <c r="O58" s="390"/>
      <c r="P58" s="395"/>
      <c r="Q58" s="456"/>
      <c r="R58" s="421"/>
      <c r="S58" s="389"/>
      <c r="T58" s="389"/>
      <c r="U58" s="389"/>
      <c r="V58" s="389"/>
      <c r="W58" s="457"/>
      <c r="X58" s="457"/>
      <c r="Y58" s="457"/>
      <c r="Z58" s="457"/>
      <c r="AA58" s="103" t="s">
        <v>2286</v>
      </c>
      <c r="AB58" s="103" t="s">
        <v>2287</v>
      </c>
      <c r="AC58" s="458"/>
      <c r="AD58" s="458"/>
      <c r="AE58" s="458"/>
      <c r="AF58" s="458"/>
      <c r="AG58" s="459"/>
    </row>
    <row r="59" spans="1:33" ht="15.75" thickBot="1">
      <c r="A59" s="395" t="s">
        <v>2277</v>
      </c>
      <c r="B59" s="398" t="s">
        <v>2338</v>
      </c>
      <c r="C59" s="395" t="s">
        <v>2342</v>
      </c>
      <c r="D59" s="416" t="s">
        <v>1309</v>
      </c>
      <c r="E59" s="414" t="str">
        <f>VLOOKUP(D59,OfertaPlazas!B:D,3,FALSE)</f>
        <v>Mikkeli</v>
      </c>
      <c r="F59" s="398" t="s">
        <v>2343</v>
      </c>
      <c r="G59" s="411">
        <v>995248034</v>
      </c>
      <c r="H59" s="398" t="s">
        <v>76</v>
      </c>
      <c r="I59" s="398" t="s">
        <v>76</v>
      </c>
      <c r="J59" s="398" t="s">
        <v>76</v>
      </c>
      <c r="K59" s="390" t="s">
        <v>75</v>
      </c>
      <c r="L59" s="390" t="s">
        <v>75</v>
      </c>
      <c r="M59" s="390" t="s">
        <v>76</v>
      </c>
      <c r="N59" s="390" t="s">
        <v>75</v>
      </c>
      <c r="O59" s="390" t="s">
        <v>76</v>
      </c>
      <c r="P59" s="395" t="s">
        <v>2291</v>
      </c>
      <c r="Q59" s="456" t="s">
        <v>75</v>
      </c>
      <c r="R59" s="421" t="s">
        <v>2281</v>
      </c>
      <c r="S59" s="389" t="s">
        <v>2291</v>
      </c>
      <c r="T59" s="389" t="s">
        <v>2291</v>
      </c>
      <c r="U59" s="389">
        <v>1</v>
      </c>
      <c r="V59" s="389">
        <v>1</v>
      </c>
      <c r="W59" s="457">
        <v>44331</v>
      </c>
      <c r="X59" s="457">
        <v>44515</v>
      </c>
      <c r="Y59" s="457">
        <v>44348</v>
      </c>
      <c r="Z59" s="457">
        <v>44531</v>
      </c>
      <c r="AA59" s="103" t="s">
        <v>2282</v>
      </c>
      <c r="AB59" s="103" t="s">
        <v>2283</v>
      </c>
      <c r="AC59" s="458"/>
      <c r="AD59" s="458" t="s">
        <v>2284</v>
      </c>
      <c r="AE59" s="458" t="s">
        <v>2285</v>
      </c>
      <c r="AF59" s="458"/>
      <c r="AG59" s="459"/>
    </row>
    <row r="60" spans="1:33" ht="15.75" thickBot="1">
      <c r="A60" s="395"/>
      <c r="B60" s="398"/>
      <c r="C60" s="395"/>
      <c r="D60" s="417"/>
      <c r="E60" s="415"/>
      <c r="F60" s="398"/>
      <c r="G60" s="411"/>
      <c r="H60" s="398"/>
      <c r="I60" s="398"/>
      <c r="J60" s="398"/>
      <c r="K60" s="390"/>
      <c r="L60" s="390"/>
      <c r="M60" s="390"/>
      <c r="N60" s="390"/>
      <c r="O60" s="390"/>
      <c r="P60" s="395"/>
      <c r="Q60" s="456"/>
      <c r="R60" s="421"/>
      <c r="S60" s="389"/>
      <c r="T60" s="389"/>
      <c r="U60" s="389"/>
      <c r="V60" s="389"/>
      <c r="W60" s="457"/>
      <c r="X60" s="457"/>
      <c r="Y60" s="457"/>
      <c r="Z60" s="457"/>
      <c r="AA60" s="103" t="s">
        <v>2286</v>
      </c>
      <c r="AB60" s="103" t="s">
        <v>2287</v>
      </c>
      <c r="AC60" s="458"/>
      <c r="AD60" s="458"/>
      <c r="AE60" s="458"/>
      <c r="AF60" s="458"/>
      <c r="AG60" s="459"/>
    </row>
    <row r="61" spans="1:33" ht="15.75" thickBot="1">
      <c r="A61" s="395" t="s">
        <v>2277</v>
      </c>
      <c r="B61" s="398" t="s">
        <v>2338</v>
      </c>
      <c r="C61" s="395" t="s">
        <v>2344</v>
      </c>
      <c r="D61" s="409" t="s">
        <v>1318</v>
      </c>
      <c r="E61" s="414" t="str">
        <f>VLOOKUP(D61,OfertaPlazas!B:D,3,FALSE)</f>
        <v>Oulu</v>
      </c>
      <c r="F61" s="398" t="s">
        <v>2345</v>
      </c>
      <c r="G61" s="411">
        <v>999844670</v>
      </c>
      <c r="H61" s="398" t="s">
        <v>76</v>
      </c>
      <c r="I61" s="398" t="s">
        <v>76</v>
      </c>
      <c r="J61" s="398" t="s">
        <v>76</v>
      </c>
      <c r="K61" s="390" t="s">
        <v>75</v>
      </c>
      <c r="L61" s="390" t="s">
        <v>75</v>
      </c>
      <c r="M61" s="390" t="s">
        <v>76</v>
      </c>
      <c r="N61" s="390" t="s">
        <v>75</v>
      </c>
      <c r="O61" s="390" t="s">
        <v>76</v>
      </c>
      <c r="P61" s="395" t="s">
        <v>2291</v>
      </c>
      <c r="Q61" s="456" t="s">
        <v>75</v>
      </c>
      <c r="R61" s="105" t="s">
        <v>2281</v>
      </c>
      <c r="S61" s="389" t="s">
        <v>2291</v>
      </c>
      <c r="T61" s="389" t="s">
        <v>2291</v>
      </c>
      <c r="U61" s="389">
        <v>1</v>
      </c>
      <c r="V61" s="389">
        <v>1</v>
      </c>
      <c r="W61" s="457">
        <v>44331</v>
      </c>
      <c r="X61" s="457">
        <v>44515</v>
      </c>
      <c r="Y61" s="457">
        <v>44348</v>
      </c>
      <c r="Z61" s="457">
        <v>44531</v>
      </c>
      <c r="AA61" s="103" t="s">
        <v>2282</v>
      </c>
      <c r="AB61" s="103" t="s">
        <v>2283</v>
      </c>
      <c r="AC61" s="458"/>
      <c r="AD61" s="458" t="s">
        <v>2284</v>
      </c>
      <c r="AE61" s="458" t="s">
        <v>2285</v>
      </c>
      <c r="AF61" s="458"/>
      <c r="AG61" s="459"/>
    </row>
    <row r="62" spans="1:33" ht="15.75" thickBot="1">
      <c r="A62" s="395"/>
      <c r="B62" s="398"/>
      <c r="C62" s="395"/>
      <c r="D62" s="410"/>
      <c r="E62" s="415"/>
      <c r="F62" s="398"/>
      <c r="G62" s="411"/>
      <c r="H62" s="398"/>
      <c r="I62" s="398"/>
      <c r="J62" s="398"/>
      <c r="K62" s="390"/>
      <c r="L62" s="390"/>
      <c r="M62" s="390"/>
      <c r="N62" s="390"/>
      <c r="O62" s="390"/>
      <c r="P62" s="395"/>
      <c r="Q62" s="456"/>
      <c r="R62" s="105" t="s">
        <v>2301</v>
      </c>
      <c r="S62" s="389"/>
      <c r="T62" s="389"/>
      <c r="U62" s="389"/>
      <c r="V62" s="389"/>
      <c r="W62" s="457"/>
      <c r="X62" s="457"/>
      <c r="Y62" s="457"/>
      <c r="Z62" s="457"/>
      <c r="AA62" s="103" t="s">
        <v>2286</v>
      </c>
      <c r="AB62" s="103" t="s">
        <v>2287</v>
      </c>
      <c r="AC62" s="458"/>
      <c r="AD62" s="458"/>
      <c r="AE62" s="458"/>
      <c r="AF62" s="458"/>
      <c r="AG62" s="459"/>
    </row>
    <row r="63" spans="1:33" ht="15.75" thickBot="1">
      <c r="A63" s="395" t="s">
        <v>2277</v>
      </c>
      <c r="B63" s="398" t="s">
        <v>2338</v>
      </c>
      <c r="C63" s="395" t="s">
        <v>1326</v>
      </c>
      <c r="D63" s="409" t="s">
        <v>2139</v>
      </c>
      <c r="E63" s="414" t="e">
        <f>VLOOKUP(D63,OfertaPlazas!B:D,3,FALSE)</f>
        <v>#N/A</v>
      </c>
      <c r="F63" s="398" t="s">
        <v>2346</v>
      </c>
      <c r="G63" s="411">
        <v>990343811</v>
      </c>
      <c r="H63" s="398" t="s">
        <v>76</v>
      </c>
      <c r="I63" s="398" t="s">
        <v>76</v>
      </c>
      <c r="J63" s="398" t="s">
        <v>76</v>
      </c>
      <c r="K63" s="390" t="s">
        <v>75</v>
      </c>
      <c r="L63" s="390" t="s">
        <v>75</v>
      </c>
      <c r="M63" s="390" t="s">
        <v>76</v>
      </c>
      <c r="N63" s="390" t="s">
        <v>75</v>
      </c>
      <c r="O63" s="390" t="s">
        <v>76</v>
      </c>
      <c r="P63" s="395" t="s">
        <v>2291</v>
      </c>
      <c r="Q63" s="456" t="s">
        <v>75</v>
      </c>
      <c r="R63" s="105" t="s">
        <v>2281</v>
      </c>
      <c r="S63" s="389" t="s">
        <v>2291</v>
      </c>
      <c r="T63" s="389" t="s">
        <v>2291</v>
      </c>
      <c r="U63" s="389">
        <v>1</v>
      </c>
      <c r="V63" s="389">
        <v>1</v>
      </c>
      <c r="W63" s="457">
        <v>44331</v>
      </c>
      <c r="X63" s="457">
        <v>44515</v>
      </c>
      <c r="Y63" s="457">
        <v>44348</v>
      </c>
      <c r="Z63" s="457">
        <v>44531</v>
      </c>
      <c r="AA63" s="103" t="s">
        <v>2282</v>
      </c>
      <c r="AB63" s="103" t="s">
        <v>2283</v>
      </c>
      <c r="AC63" s="458"/>
      <c r="AD63" s="458" t="s">
        <v>2284</v>
      </c>
      <c r="AE63" s="458" t="s">
        <v>2285</v>
      </c>
      <c r="AF63" s="458"/>
      <c r="AG63" s="459"/>
    </row>
    <row r="64" spans="1:33" ht="15.75" thickBot="1">
      <c r="A64" s="395"/>
      <c r="B64" s="398"/>
      <c r="C64" s="395"/>
      <c r="D64" s="410"/>
      <c r="E64" s="415"/>
      <c r="F64" s="398"/>
      <c r="G64" s="411"/>
      <c r="H64" s="398"/>
      <c r="I64" s="398"/>
      <c r="J64" s="398"/>
      <c r="K64" s="390"/>
      <c r="L64" s="390"/>
      <c r="M64" s="390"/>
      <c r="N64" s="390"/>
      <c r="O64" s="390"/>
      <c r="P64" s="395"/>
      <c r="Q64" s="456"/>
      <c r="R64" s="105" t="s">
        <v>2301</v>
      </c>
      <c r="S64" s="389"/>
      <c r="T64" s="389"/>
      <c r="U64" s="389"/>
      <c r="V64" s="389"/>
      <c r="W64" s="457"/>
      <c r="X64" s="457"/>
      <c r="Y64" s="457"/>
      <c r="Z64" s="457"/>
      <c r="AA64" s="103" t="s">
        <v>2286</v>
      </c>
      <c r="AB64" s="103" t="s">
        <v>2287</v>
      </c>
      <c r="AC64" s="458"/>
      <c r="AD64" s="458"/>
      <c r="AE64" s="458"/>
      <c r="AF64" s="458"/>
      <c r="AG64" s="459"/>
    </row>
    <row r="65" spans="1:33" ht="15.75" thickBot="1">
      <c r="A65" s="395" t="s">
        <v>2277</v>
      </c>
      <c r="B65" s="398" t="s">
        <v>1809</v>
      </c>
      <c r="C65" s="395" t="s">
        <v>460</v>
      </c>
      <c r="D65" s="409" t="s">
        <v>2347</v>
      </c>
      <c r="E65" s="414" t="e">
        <f>VLOOKUP(D65,OfertaPlazas!B:D,3,FALSE)</f>
        <v>#N/A</v>
      </c>
      <c r="F65" s="398" t="s">
        <v>459</v>
      </c>
      <c r="G65" s="411">
        <v>999863100</v>
      </c>
      <c r="H65" s="398" t="s">
        <v>76</v>
      </c>
      <c r="I65" s="398" t="s">
        <v>76</v>
      </c>
      <c r="J65" s="398" t="s">
        <v>76</v>
      </c>
      <c r="K65" s="390" t="s">
        <v>75</v>
      </c>
      <c r="L65" s="390" t="s">
        <v>75</v>
      </c>
      <c r="M65" s="390" t="s">
        <v>76</v>
      </c>
      <c r="N65" s="390" t="s">
        <v>75</v>
      </c>
      <c r="O65" s="390" t="s">
        <v>76</v>
      </c>
      <c r="P65" s="395" t="s">
        <v>2297</v>
      </c>
      <c r="Q65" s="456" t="s">
        <v>75</v>
      </c>
      <c r="R65" s="456" t="s">
        <v>2301</v>
      </c>
      <c r="S65" s="389" t="s">
        <v>2297</v>
      </c>
      <c r="T65" s="389" t="s">
        <v>2297</v>
      </c>
      <c r="U65" s="389">
        <v>1</v>
      </c>
      <c r="V65" s="389">
        <v>1</v>
      </c>
      <c r="W65" s="457">
        <v>44331</v>
      </c>
      <c r="X65" s="457">
        <v>44515</v>
      </c>
      <c r="Y65" s="457">
        <v>44348</v>
      </c>
      <c r="Z65" s="457">
        <v>44531</v>
      </c>
      <c r="AA65" s="103" t="s">
        <v>2282</v>
      </c>
      <c r="AB65" s="103" t="s">
        <v>2283</v>
      </c>
      <c r="AC65" s="458"/>
      <c r="AD65" s="458" t="s">
        <v>2284</v>
      </c>
      <c r="AE65" s="458" t="s">
        <v>2285</v>
      </c>
      <c r="AF65" s="458"/>
      <c r="AG65" s="459"/>
    </row>
    <row r="66" spans="1:33" ht="15.75" thickBot="1">
      <c r="A66" s="395"/>
      <c r="B66" s="398"/>
      <c r="C66" s="395"/>
      <c r="D66" s="410"/>
      <c r="E66" s="415"/>
      <c r="F66" s="398"/>
      <c r="G66" s="411"/>
      <c r="H66" s="398"/>
      <c r="I66" s="398"/>
      <c r="J66" s="398"/>
      <c r="K66" s="390"/>
      <c r="L66" s="390"/>
      <c r="M66" s="390"/>
      <c r="N66" s="390"/>
      <c r="O66" s="390"/>
      <c r="P66" s="395"/>
      <c r="Q66" s="456"/>
      <c r="R66" s="456"/>
      <c r="S66" s="389"/>
      <c r="T66" s="389"/>
      <c r="U66" s="389"/>
      <c r="V66" s="389"/>
      <c r="W66" s="457"/>
      <c r="X66" s="457"/>
      <c r="Y66" s="457"/>
      <c r="Z66" s="457"/>
      <c r="AA66" s="103" t="s">
        <v>2286</v>
      </c>
      <c r="AB66" s="103" t="s">
        <v>2287</v>
      </c>
      <c r="AC66" s="458"/>
      <c r="AD66" s="458"/>
      <c r="AE66" s="458"/>
      <c r="AF66" s="458"/>
      <c r="AG66" s="459"/>
    </row>
    <row r="67" spans="1:33" ht="15.75" thickBot="1">
      <c r="A67" s="395" t="s">
        <v>2277</v>
      </c>
      <c r="B67" s="398" t="s">
        <v>1809</v>
      </c>
      <c r="C67" s="395" t="s">
        <v>490</v>
      </c>
      <c r="D67" s="409" t="s">
        <v>488</v>
      </c>
      <c r="E67" s="414" t="str">
        <f>VLOOKUP(D67,OfertaPlazas!B:D,3,FALSE)</f>
        <v>Bordeaux</v>
      </c>
      <c r="F67" s="398" t="s">
        <v>2348</v>
      </c>
      <c r="G67" s="411">
        <v>991798035</v>
      </c>
      <c r="H67" s="398" t="s">
        <v>76</v>
      </c>
      <c r="I67" s="398" t="s">
        <v>76</v>
      </c>
      <c r="J67" s="398" t="s">
        <v>76</v>
      </c>
      <c r="K67" s="390" t="s">
        <v>75</v>
      </c>
      <c r="L67" s="390" t="s">
        <v>75</v>
      </c>
      <c r="M67" s="390" t="s">
        <v>76</v>
      </c>
      <c r="N67" s="390" t="s">
        <v>75</v>
      </c>
      <c r="O67" s="390" t="s">
        <v>76</v>
      </c>
      <c r="P67" s="395" t="s">
        <v>2291</v>
      </c>
      <c r="Q67" s="456" t="s">
        <v>75</v>
      </c>
      <c r="R67" s="105" t="s">
        <v>2349</v>
      </c>
      <c r="S67" s="389" t="s">
        <v>2291</v>
      </c>
      <c r="T67" s="389" t="s">
        <v>2291</v>
      </c>
      <c r="U67" s="389">
        <v>1</v>
      </c>
      <c r="V67" s="389">
        <v>1</v>
      </c>
      <c r="W67" s="457">
        <v>44331</v>
      </c>
      <c r="X67" s="457">
        <v>44515</v>
      </c>
      <c r="Y67" s="457">
        <v>44348</v>
      </c>
      <c r="Z67" s="457">
        <v>44531</v>
      </c>
      <c r="AA67" s="103" t="s">
        <v>2282</v>
      </c>
      <c r="AB67" s="103" t="s">
        <v>2283</v>
      </c>
      <c r="AC67" s="458"/>
      <c r="AD67" s="458" t="s">
        <v>2284</v>
      </c>
      <c r="AE67" s="458" t="s">
        <v>2285</v>
      </c>
      <c r="AF67" s="458"/>
      <c r="AG67" s="459" t="s">
        <v>2350</v>
      </c>
    </row>
    <row r="68" spans="1:33" ht="15.75" thickBot="1">
      <c r="A68" s="395"/>
      <c r="B68" s="398"/>
      <c r="C68" s="395"/>
      <c r="D68" s="410"/>
      <c r="E68" s="415"/>
      <c r="F68" s="398"/>
      <c r="G68" s="411"/>
      <c r="H68" s="398"/>
      <c r="I68" s="398"/>
      <c r="J68" s="398"/>
      <c r="K68" s="390"/>
      <c r="L68" s="390"/>
      <c r="M68" s="390"/>
      <c r="N68" s="390"/>
      <c r="O68" s="390"/>
      <c r="P68" s="395"/>
      <c r="Q68" s="456"/>
      <c r="R68" s="105" t="s">
        <v>2294</v>
      </c>
      <c r="S68" s="389"/>
      <c r="T68" s="389"/>
      <c r="U68" s="389"/>
      <c r="V68" s="389"/>
      <c r="W68" s="457"/>
      <c r="X68" s="457"/>
      <c r="Y68" s="457"/>
      <c r="Z68" s="457"/>
      <c r="AA68" s="103" t="s">
        <v>2286</v>
      </c>
      <c r="AB68" s="103" t="s">
        <v>2287</v>
      </c>
      <c r="AC68" s="458"/>
      <c r="AD68" s="458"/>
      <c r="AE68" s="458"/>
      <c r="AF68" s="458"/>
      <c r="AG68" s="459"/>
    </row>
    <row r="69" spans="1:33" ht="15.75" thickBot="1">
      <c r="A69" s="395" t="s">
        <v>2277</v>
      </c>
      <c r="B69" s="398" t="s">
        <v>1809</v>
      </c>
      <c r="C69" s="395" t="s">
        <v>503</v>
      </c>
      <c r="D69" s="409" t="s">
        <v>501</v>
      </c>
      <c r="E69" s="414" t="str">
        <f>VLOOKUP(D69,OfertaPlazas!B:D,3,FALSE)</f>
        <v>Brest</v>
      </c>
      <c r="F69" s="398" t="s">
        <v>2351</v>
      </c>
      <c r="G69" s="411">
        <v>949479845</v>
      </c>
      <c r="H69" s="398" t="s">
        <v>76</v>
      </c>
      <c r="I69" s="398" t="s">
        <v>76</v>
      </c>
      <c r="J69" s="398" t="s">
        <v>76</v>
      </c>
      <c r="K69" s="390" t="s">
        <v>75</v>
      </c>
      <c r="L69" s="390" t="s">
        <v>75</v>
      </c>
      <c r="M69" s="390" t="s">
        <v>76</v>
      </c>
      <c r="N69" s="390" t="s">
        <v>75</v>
      </c>
      <c r="O69" s="390" t="s">
        <v>76</v>
      </c>
      <c r="P69" s="395" t="s">
        <v>2291</v>
      </c>
      <c r="Q69" s="456" t="s">
        <v>75</v>
      </c>
      <c r="R69" s="421" t="s">
        <v>2281</v>
      </c>
      <c r="S69" s="389" t="s">
        <v>2291</v>
      </c>
      <c r="T69" s="389" t="s">
        <v>2291</v>
      </c>
      <c r="U69" s="389">
        <v>1</v>
      </c>
      <c r="V69" s="389">
        <v>1</v>
      </c>
      <c r="W69" s="457">
        <v>44331</v>
      </c>
      <c r="X69" s="457">
        <v>44515</v>
      </c>
      <c r="Y69" s="457">
        <v>44348</v>
      </c>
      <c r="Z69" s="457">
        <v>44531</v>
      </c>
      <c r="AA69" s="103" t="s">
        <v>2282</v>
      </c>
      <c r="AB69" s="103" t="s">
        <v>2283</v>
      </c>
      <c r="AC69" s="458"/>
      <c r="AD69" s="458" t="s">
        <v>2284</v>
      </c>
      <c r="AE69" s="458" t="s">
        <v>2285</v>
      </c>
      <c r="AF69" s="458"/>
      <c r="AG69" s="459"/>
    </row>
    <row r="70" spans="1:33" ht="15.75" thickBot="1">
      <c r="A70" s="395"/>
      <c r="B70" s="398"/>
      <c r="C70" s="395"/>
      <c r="D70" s="410"/>
      <c r="E70" s="415"/>
      <c r="F70" s="398"/>
      <c r="G70" s="411"/>
      <c r="H70" s="398"/>
      <c r="I70" s="398"/>
      <c r="J70" s="398"/>
      <c r="K70" s="390"/>
      <c r="L70" s="390"/>
      <c r="M70" s="390"/>
      <c r="N70" s="390"/>
      <c r="O70" s="390"/>
      <c r="P70" s="395"/>
      <c r="Q70" s="456"/>
      <c r="R70" s="421"/>
      <c r="S70" s="389"/>
      <c r="T70" s="389"/>
      <c r="U70" s="389"/>
      <c r="V70" s="389"/>
      <c r="W70" s="457"/>
      <c r="X70" s="457"/>
      <c r="Y70" s="457"/>
      <c r="Z70" s="457"/>
      <c r="AA70" s="103" t="s">
        <v>2286</v>
      </c>
      <c r="AB70" s="103" t="s">
        <v>2287</v>
      </c>
      <c r="AC70" s="458"/>
      <c r="AD70" s="458"/>
      <c r="AE70" s="458"/>
      <c r="AF70" s="458"/>
      <c r="AG70" s="459"/>
    </row>
    <row r="71" spans="1:33" ht="15.75" thickBot="1">
      <c r="A71" s="395" t="s">
        <v>2277</v>
      </c>
      <c r="B71" s="398" t="s">
        <v>1809</v>
      </c>
      <c r="C71" s="395" t="s">
        <v>503</v>
      </c>
      <c r="D71" s="409" t="s">
        <v>732</v>
      </c>
      <c r="E71" s="414" t="str">
        <f>VLOOKUP(D71,OfertaPlazas!B:D,3,FALSE)</f>
        <v>Brest-Nantes-Rennes</v>
      </c>
      <c r="F71" s="398" t="s">
        <v>732</v>
      </c>
      <c r="G71" s="411">
        <v>949479845</v>
      </c>
      <c r="H71" s="398" t="s">
        <v>76</v>
      </c>
      <c r="I71" s="398" t="s">
        <v>76</v>
      </c>
      <c r="J71" s="398" t="s">
        <v>76</v>
      </c>
      <c r="K71" s="390" t="s">
        <v>75</v>
      </c>
      <c r="L71" s="390" t="s">
        <v>75</v>
      </c>
      <c r="M71" s="390" t="s">
        <v>76</v>
      </c>
      <c r="N71" s="390" t="s">
        <v>75</v>
      </c>
      <c r="O71" s="390" t="s">
        <v>76</v>
      </c>
      <c r="P71" s="395" t="s">
        <v>2352</v>
      </c>
      <c r="Q71" s="456" t="s">
        <v>75</v>
      </c>
      <c r="R71" s="421" t="s">
        <v>2281</v>
      </c>
      <c r="S71" s="389" t="s">
        <v>2293</v>
      </c>
      <c r="T71" s="389" t="s">
        <v>2293</v>
      </c>
      <c r="U71" s="389">
        <v>1</v>
      </c>
      <c r="V71" s="389">
        <v>1</v>
      </c>
      <c r="W71" s="457">
        <v>44331</v>
      </c>
      <c r="X71" s="457">
        <v>44515</v>
      </c>
      <c r="Y71" s="457">
        <v>44348</v>
      </c>
      <c r="Z71" s="457">
        <v>44531</v>
      </c>
      <c r="AA71" s="103" t="s">
        <v>2282</v>
      </c>
      <c r="AB71" s="103" t="s">
        <v>2283</v>
      </c>
      <c r="AC71" s="458"/>
      <c r="AD71" s="458" t="s">
        <v>2284</v>
      </c>
      <c r="AE71" s="458" t="s">
        <v>2285</v>
      </c>
      <c r="AF71" s="458"/>
      <c r="AG71" s="459"/>
    </row>
    <row r="72" spans="1:33" ht="15.75" thickBot="1">
      <c r="A72" s="395"/>
      <c r="B72" s="398"/>
      <c r="C72" s="395"/>
      <c r="D72" s="410"/>
      <c r="E72" s="415"/>
      <c r="F72" s="398"/>
      <c r="G72" s="411"/>
      <c r="H72" s="398"/>
      <c r="I72" s="398"/>
      <c r="J72" s="398"/>
      <c r="K72" s="390"/>
      <c r="L72" s="390"/>
      <c r="M72" s="390"/>
      <c r="N72" s="390"/>
      <c r="O72" s="390"/>
      <c r="P72" s="395"/>
      <c r="Q72" s="456"/>
      <c r="R72" s="421"/>
      <c r="S72" s="389"/>
      <c r="T72" s="389"/>
      <c r="U72" s="389"/>
      <c r="V72" s="389"/>
      <c r="W72" s="457"/>
      <c r="X72" s="457"/>
      <c r="Y72" s="457"/>
      <c r="Z72" s="457"/>
      <c r="AA72" s="103" t="s">
        <v>2286</v>
      </c>
      <c r="AB72" s="103" t="s">
        <v>2287</v>
      </c>
      <c r="AC72" s="458"/>
      <c r="AD72" s="458"/>
      <c r="AE72" s="458"/>
      <c r="AF72" s="458"/>
      <c r="AG72" s="459"/>
    </row>
    <row r="73" spans="1:33" ht="15.75" thickBot="1">
      <c r="A73" s="395" t="s">
        <v>2277</v>
      </c>
      <c r="B73" s="398" t="s">
        <v>1809</v>
      </c>
      <c r="C73" s="395" t="s">
        <v>527</v>
      </c>
      <c r="D73" s="410" t="s">
        <v>525</v>
      </c>
      <c r="E73" s="415" t="str">
        <f>VLOOKUP(D73,OfertaPlazas!B:D,3,FALSE)</f>
        <v>Caen</v>
      </c>
      <c r="F73" s="398" t="s">
        <v>2353</v>
      </c>
      <c r="G73" s="411">
        <v>986038369</v>
      </c>
      <c r="H73" s="398" t="s">
        <v>76</v>
      </c>
      <c r="I73" s="398" t="s">
        <v>76</v>
      </c>
      <c r="J73" s="398" t="s">
        <v>76</v>
      </c>
      <c r="K73" s="390" t="s">
        <v>75</v>
      </c>
      <c r="L73" s="390" t="s">
        <v>75</v>
      </c>
      <c r="M73" s="390" t="s">
        <v>76</v>
      </c>
      <c r="N73" s="390" t="s">
        <v>75</v>
      </c>
      <c r="O73" s="390" t="s">
        <v>76</v>
      </c>
      <c r="P73" s="395" t="s">
        <v>2280</v>
      </c>
      <c r="Q73" s="456" t="s">
        <v>75</v>
      </c>
      <c r="R73" s="105" t="s">
        <v>2281</v>
      </c>
      <c r="S73" s="389" t="s">
        <v>2280</v>
      </c>
      <c r="T73" s="389" t="s">
        <v>2280</v>
      </c>
      <c r="U73" s="389">
        <v>1</v>
      </c>
      <c r="V73" s="389">
        <v>1</v>
      </c>
      <c r="W73" s="457">
        <v>44331</v>
      </c>
      <c r="X73" s="457">
        <v>44515</v>
      </c>
      <c r="Y73" s="457">
        <v>44348</v>
      </c>
      <c r="Z73" s="457">
        <v>44531</v>
      </c>
      <c r="AA73" s="103" t="s">
        <v>2282</v>
      </c>
      <c r="AB73" s="103" t="s">
        <v>2283</v>
      </c>
      <c r="AC73" s="458"/>
      <c r="AD73" s="458" t="s">
        <v>2284</v>
      </c>
      <c r="AE73" s="458" t="s">
        <v>2285</v>
      </c>
      <c r="AF73" s="458"/>
      <c r="AG73" s="459" t="s">
        <v>2354</v>
      </c>
    </row>
    <row r="74" spans="1:33" ht="15.75" thickBot="1">
      <c r="A74" s="395"/>
      <c r="B74" s="398"/>
      <c r="C74" s="395"/>
      <c r="D74" s="410"/>
      <c r="E74" s="415"/>
      <c r="F74" s="398"/>
      <c r="G74" s="411"/>
      <c r="H74" s="398"/>
      <c r="I74" s="398"/>
      <c r="J74" s="398"/>
      <c r="K74" s="390"/>
      <c r="L74" s="390"/>
      <c r="M74" s="390"/>
      <c r="N74" s="390"/>
      <c r="O74" s="390"/>
      <c r="P74" s="395"/>
      <c r="Q74" s="456"/>
      <c r="R74" s="105" t="s">
        <v>2294</v>
      </c>
      <c r="S74" s="389"/>
      <c r="T74" s="389"/>
      <c r="U74" s="389"/>
      <c r="V74" s="389"/>
      <c r="W74" s="457"/>
      <c r="X74" s="457"/>
      <c r="Y74" s="457"/>
      <c r="Z74" s="457"/>
      <c r="AA74" s="103" t="s">
        <v>2286</v>
      </c>
      <c r="AB74" s="103" t="s">
        <v>2287</v>
      </c>
      <c r="AC74" s="458"/>
      <c r="AD74" s="458"/>
      <c r="AE74" s="458"/>
      <c r="AF74" s="458"/>
      <c r="AG74" s="459"/>
    </row>
    <row r="75" spans="1:33" ht="15.75" thickBot="1">
      <c r="A75" s="395"/>
      <c r="B75" s="398"/>
      <c r="C75" s="395"/>
      <c r="D75" s="410"/>
      <c r="E75" s="415"/>
      <c r="F75" s="398"/>
      <c r="G75" s="411"/>
      <c r="H75" s="398"/>
      <c r="I75" s="398"/>
      <c r="J75" s="398"/>
      <c r="K75" s="390"/>
      <c r="L75" s="390"/>
      <c r="M75" s="390"/>
      <c r="N75" s="390"/>
      <c r="O75" s="390"/>
      <c r="P75" s="395"/>
      <c r="Q75" s="456"/>
      <c r="R75" s="105" t="s">
        <v>2301</v>
      </c>
      <c r="S75" s="389"/>
      <c r="T75" s="389"/>
      <c r="U75" s="389"/>
      <c r="V75" s="389"/>
      <c r="W75" s="457"/>
      <c r="X75" s="457"/>
      <c r="Y75" s="457"/>
      <c r="Z75" s="457"/>
      <c r="AA75" s="103"/>
      <c r="AB75" s="103"/>
      <c r="AC75" s="458"/>
      <c r="AD75" s="458"/>
      <c r="AE75" s="458"/>
      <c r="AF75" s="458"/>
      <c r="AG75" s="459"/>
    </row>
    <row r="76" spans="1:33" ht="15.75" thickBot="1">
      <c r="A76" s="395" t="s">
        <v>2277</v>
      </c>
      <c r="B76" s="398" t="s">
        <v>1809</v>
      </c>
      <c r="C76" s="395" t="s">
        <v>2355</v>
      </c>
      <c r="D76" s="409" t="s">
        <v>548</v>
      </c>
      <c r="E76" s="414" t="str">
        <f>VLOOKUP(D76,OfertaPlazas!B:D,3,FALSE)</f>
        <v>Cergy (Paris)</v>
      </c>
      <c r="F76" s="398" t="s">
        <v>2356</v>
      </c>
      <c r="G76" s="411">
        <v>999583643</v>
      </c>
      <c r="H76" s="398" t="s">
        <v>76</v>
      </c>
      <c r="I76" s="398" t="s">
        <v>76</v>
      </c>
      <c r="J76" s="398" t="s">
        <v>76</v>
      </c>
      <c r="K76" s="390" t="s">
        <v>75</v>
      </c>
      <c r="L76" s="390" t="s">
        <v>75</v>
      </c>
      <c r="M76" s="390" t="s">
        <v>75</v>
      </c>
      <c r="N76" s="390" t="s">
        <v>75</v>
      </c>
      <c r="O76" s="390" t="s">
        <v>75</v>
      </c>
      <c r="P76" s="395" t="s">
        <v>2280</v>
      </c>
      <c r="Q76" s="456" t="s">
        <v>75</v>
      </c>
      <c r="R76" s="105" t="s">
        <v>2281</v>
      </c>
      <c r="S76" s="389" t="s">
        <v>2280</v>
      </c>
      <c r="T76" s="389" t="s">
        <v>2280</v>
      </c>
      <c r="U76" s="389">
        <v>1</v>
      </c>
      <c r="V76" s="389">
        <v>1</v>
      </c>
      <c r="W76" s="457">
        <v>44331</v>
      </c>
      <c r="X76" s="457">
        <v>44515</v>
      </c>
      <c r="Y76" s="457">
        <v>44348</v>
      </c>
      <c r="Z76" s="457">
        <v>44531</v>
      </c>
      <c r="AA76" s="103" t="s">
        <v>2282</v>
      </c>
      <c r="AB76" s="103" t="s">
        <v>2283</v>
      </c>
      <c r="AC76" s="458"/>
      <c r="AD76" s="458" t="s">
        <v>2284</v>
      </c>
      <c r="AE76" s="458" t="s">
        <v>2285</v>
      </c>
      <c r="AF76" s="458"/>
      <c r="AG76" s="459"/>
    </row>
    <row r="77" spans="1:33" ht="15.75" thickBot="1">
      <c r="A77" s="395"/>
      <c r="B77" s="398"/>
      <c r="C77" s="395"/>
      <c r="D77" s="410"/>
      <c r="E77" s="415"/>
      <c r="F77" s="398"/>
      <c r="G77" s="411"/>
      <c r="H77" s="398"/>
      <c r="I77" s="398"/>
      <c r="J77" s="398"/>
      <c r="K77" s="390"/>
      <c r="L77" s="390"/>
      <c r="M77" s="390"/>
      <c r="N77" s="390"/>
      <c r="O77" s="390"/>
      <c r="P77" s="395"/>
      <c r="Q77" s="456"/>
      <c r="R77" s="105" t="s">
        <v>2301</v>
      </c>
      <c r="S77" s="389"/>
      <c r="T77" s="389"/>
      <c r="U77" s="389"/>
      <c r="V77" s="389"/>
      <c r="W77" s="457"/>
      <c r="X77" s="457"/>
      <c r="Y77" s="457"/>
      <c r="Z77" s="457"/>
      <c r="AA77" s="103" t="s">
        <v>2286</v>
      </c>
      <c r="AB77" s="103" t="s">
        <v>2287</v>
      </c>
      <c r="AC77" s="458"/>
      <c r="AD77" s="458"/>
      <c r="AE77" s="458"/>
      <c r="AF77" s="458"/>
      <c r="AG77" s="459"/>
    </row>
    <row r="78" spans="1:33" ht="15.75" thickBot="1">
      <c r="A78" s="395" t="s">
        <v>2277</v>
      </c>
      <c r="B78" s="398" t="s">
        <v>1809</v>
      </c>
      <c r="C78" s="395" t="s">
        <v>2357</v>
      </c>
      <c r="D78" s="409" t="s">
        <v>560</v>
      </c>
      <c r="E78" s="414" t="str">
        <f>VLOOKUP(D78,OfertaPlazas!B:D,3,FALSE)</f>
        <v>Evry (Paris)</v>
      </c>
      <c r="F78" s="398" t="s">
        <v>2358</v>
      </c>
      <c r="G78" s="411">
        <v>949148881</v>
      </c>
      <c r="H78" s="398" t="s">
        <v>76</v>
      </c>
      <c r="I78" s="398" t="s">
        <v>76</v>
      </c>
      <c r="J78" s="398" t="s">
        <v>76</v>
      </c>
      <c r="K78" s="390" t="s">
        <v>75</v>
      </c>
      <c r="L78" s="390" t="s">
        <v>75</v>
      </c>
      <c r="M78" s="390" t="s">
        <v>76</v>
      </c>
      <c r="N78" s="390" t="s">
        <v>75</v>
      </c>
      <c r="O78" s="390" t="s">
        <v>76</v>
      </c>
      <c r="P78" s="395" t="s">
        <v>2291</v>
      </c>
      <c r="Q78" s="456" t="s">
        <v>75</v>
      </c>
      <c r="R78" s="105" t="s">
        <v>2281</v>
      </c>
      <c r="S78" s="389" t="s">
        <v>2291</v>
      </c>
      <c r="T78" s="389" t="s">
        <v>2291</v>
      </c>
      <c r="U78" s="389">
        <v>1</v>
      </c>
      <c r="V78" s="389">
        <v>1</v>
      </c>
      <c r="W78" s="457">
        <v>44331</v>
      </c>
      <c r="X78" s="457">
        <v>44515</v>
      </c>
      <c r="Y78" s="457">
        <v>44348</v>
      </c>
      <c r="Z78" s="457">
        <v>44531</v>
      </c>
      <c r="AA78" s="103" t="s">
        <v>2282</v>
      </c>
      <c r="AB78" s="103" t="s">
        <v>2283</v>
      </c>
      <c r="AC78" s="458"/>
      <c r="AD78" s="458" t="s">
        <v>2284</v>
      </c>
      <c r="AE78" s="458" t="s">
        <v>2285</v>
      </c>
      <c r="AF78" s="458"/>
      <c r="AG78" s="459"/>
    </row>
    <row r="79" spans="1:33" ht="15.75" thickBot="1">
      <c r="A79" s="395"/>
      <c r="B79" s="398"/>
      <c r="C79" s="395"/>
      <c r="D79" s="410"/>
      <c r="E79" s="415"/>
      <c r="F79" s="398"/>
      <c r="G79" s="411"/>
      <c r="H79" s="398"/>
      <c r="I79" s="398"/>
      <c r="J79" s="398"/>
      <c r="K79" s="390"/>
      <c r="L79" s="390"/>
      <c r="M79" s="390"/>
      <c r="N79" s="390"/>
      <c r="O79" s="390"/>
      <c r="P79" s="395"/>
      <c r="Q79" s="456"/>
      <c r="R79" s="105" t="s">
        <v>2303</v>
      </c>
      <c r="S79" s="389"/>
      <c r="T79" s="389"/>
      <c r="U79" s="389"/>
      <c r="V79" s="389"/>
      <c r="W79" s="457"/>
      <c r="X79" s="457"/>
      <c r="Y79" s="457"/>
      <c r="Z79" s="457"/>
      <c r="AA79" s="103" t="s">
        <v>2286</v>
      </c>
      <c r="AB79" s="103" t="s">
        <v>2287</v>
      </c>
      <c r="AC79" s="458"/>
      <c r="AD79" s="458"/>
      <c r="AE79" s="458"/>
      <c r="AF79" s="458"/>
      <c r="AG79" s="459"/>
    </row>
    <row r="80" spans="1:33" ht="15.75" thickBot="1">
      <c r="A80" s="395" t="s">
        <v>2277</v>
      </c>
      <c r="B80" s="398" t="s">
        <v>1809</v>
      </c>
      <c r="C80" s="395" t="s">
        <v>2359</v>
      </c>
      <c r="D80" s="409" t="s">
        <v>573</v>
      </c>
      <c r="E80" s="414" t="str">
        <f>VLOOKUP(D80,OfertaPlazas!B:D,3,FALSE)</f>
        <v>Paris Saclay - Metz - Rennes</v>
      </c>
      <c r="F80" s="398" t="s">
        <v>2360</v>
      </c>
      <c r="G80" s="411">
        <v>933906883</v>
      </c>
      <c r="H80" s="398" t="s">
        <v>76</v>
      </c>
      <c r="I80" s="398" t="s">
        <v>76</v>
      </c>
      <c r="J80" s="398" t="s">
        <v>76</v>
      </c>
      <c r="K80" s="390" t="s">
        <v>75</v>
      </c>
      <c r="L80" s="390" t="s">
        <v>75</v>
      </c>
      <c r="M80" s="390" t="s">
        <v>76</v>
      </c>
      <c r="N80" s="390" t="s">
        <v>75</v>
      </c>
      <c r="O80" s="390" t="s">
        <v>76</v>
      </c>
      <c r="P80" s="395" t="s">
        <v>2291</v>
      </c>
      <c r="Q80" s="456" t="s">
        <v>75</v>
      </c>
      <c r="R80" s="421" t="s">
        <v>2281</v>
      </c>
      <c r="S80" s="389" t="s">
        <v>2291</v>
      </c>
      <c r="T80" s="389" t="s">
        <v>2291</v>
      </c>
      <c r="U80" s="389">
        <v>1</v>
      </c>
      <c r="V80" s="389">
        <v>1</v>
      </c>
      <c r="W80" s="457">
        <v>44331</v>
      </c>
      <c r="X80" s="457">
        <v>44515</v>
      </c>
      <c r="Y80" s="457">
        <v>44348</v>
      </c>
      <c r="Z80" s="457">
        <v>44531</v>
      </c>
      <c r="AA80" s="103" t="s">
        <v>2282</v>
      </c>
      <c r="AB80" s="103" t="s">
        <v>2283</v>
      </c>
      <c r="AC80" s="458"/>
      <c r="AD80" s="458" t="s">
        <v>2284</v>
      </c>
      <c r="AE80" s="458" t="s">
        <v>2285</v>
      </c>
      <c r="AF80" s="458"/>
      <c r="AG80" s="459"/>
    </row>
    <row r="81" spans="1:33" ht="15.75" thickBot="1">
      <c r="A81" s="395"/>
      <c r="B81" s="398"/>
      <c r="C81" s="395"/>
      <c r="D81" s="410"/>
      <c r="E81" s="415"/>
      <c r="F81" s="398"/>
      <c r="G81" s="411"/>
      <c r="H81" s="398"/>
      <c r="I81" s="398"/>
      <c r="J81" s="398"/>
      <c r="K81" s="390"/>
      <c r="L81" s="390"/>
      <c r="M81" s="390"/>
      <c r="N81" s="390"/>
      <c r="O81" s="390"/>
      <c r="P81" s="395"/>
      <c r="Q81" s="456"/>
      <c r="R81" s="421"/>
      <c r="S81" s="389"/>
      <c r="T81" s="389"/>
      <c r="U81" s="389"/>
      <c r="V81" s="389"/>
      <c r="W81" s="457"/>
      <c r="X81" s="457"/>
      <c r="Y81" s="457"/>
      <c r="Z81" s="457"/>
      <c r="AA81" s="103" t="s">
        <v>2286</v>
      </c>
      <c r="AB81" s="103" t="s">
        <v>2287</v>
      </c>
      <c r="AC81" s="458"/>
      <c r="AD81" s="458"/>
      <c r="AE81" s="458"/>
      <c r="AF81" s="458"/>
      <c r="AG81" s="459"/>
    </row>
    <row r="82" spans="1:33" ht="15.75" thickBot="1">
      <c r="A82" s="395" t="s">
        <v>2277</v>
      </c>
      <c r="B82" s="398" t="s">
        <v>1809</v>
      </c>
      <c r="C82" s="395" t="s">
        <v>590</v>
      </c>
      <c r="D82" s="409" t="s">
        <v>588</v>
      </c>
      <c r="E82" s="414" t="str">
        <f>VLOOKUP(D82,OfertaPlazas!B:D,3,FALSE)</f>
        <v>Grenoble</v>
      </c>
      <c r="F82" s="398" t="s">
        <v>2361</v>
      </c>
      <c r="G82" s="411">
        <v>999875225</v>
      </c>
      <c r="H82" s="398" t="s">
        <v>76</v>
      </c>
      <c r="I82" s="398" t="s">
        <v>76</v>
      </c>
      <c r="J82" s="398" t="s">
        <v>76</v>
      </c>
      <c r="K82" s="390" t="s">
        <v>75</v>
      </c>
      <c r="L82" s="390" t="s">
        <v>75</v>
      </c>
      <c r="M82" s="390" t="s">
        <v>76</v>
      </c>
      <c r="N82" s="390" t="s">
        <v>75</v>
      </c>
      <c r="O82" s="390" t="s">
        <v>76</v>
      </c>
      <c r="P82" s="395" t="s">
        <v>2362</v>
      </c>
      <c r="Q82" s="456" t="s">
        <v>75</v>
      </c>
      <c r="R82" s="421" t="s">
        <v>2281</v>
      </c>
      <c r="S82" s="389" t="s">
        <v>2291</v>
      </c>
      <c r="T82" s="389" t="s">
        <v>2291</v>
      </c>
      <c r="U82" s="389">
        <v>1</v>
      </c>
      <c r="V82" s="389">
        <v>1</v>
      </c>
      <c r="W82" s="457">
        <v>44331</v>
      </c>
      <c r="X82" s="457">
        <v>44515</v>
      </c>
      <c r="Y82" s="457">
        <v>44348</v>
      </c>
      <c r="Z82" s="457">
        <v>44531</v>
      </c>
      <c r="AA82" s="103" t="s">
        <v>2282</v>
      </c>
      <c r="AB82" s="103" t="s">
        <v>2283</v>
      </c>
      <c r="AC82" s="458"/>
      <c r="AD82" s="458" t="s">
        <v>2284</v>
      </c>
      <c r="AE82" s="458" t="s">
        <v>2285</v>
      </c>
      <c r="AF82" s="458"/>
      <c r="AG82" s="459"/>
    </row>
    <row r="83" spans="1:33" ht="15.75" thickBot="1">
      <c r="A83" s="395"/>
      <c r="B83" s="398"/>
      <c r="C83" s="395"/>
      <c r="D83" s="410"/>
      <c r="E83" s="415"/>
      <c r="F83" s="398"/>
      <c r="G83" s="411"/>
      <c r="H83" s="398"/>
      <c r="I83" s="398"/>
      <c r="J83" s="398"/>
      <c r="K83" s="390"/>
      <c r="L83" s="390"/>
      <c r="M83" s="390"/>
      <c r="N83" s="390"/>
      <c r="O83" s="390"/>
      <c r="P83" s="395"/>
      <c r="Q83" s="456"/>
      <c r="R83" s="421"/>
      <c r="S83" s="389"/>
      <c r="T83" s="389"/>
      <c r="U83" s="389"/>
      <c r="V83" s="389"/>
      <c r="W83" s="457"/>
      <c r="X83" s="457"/>
      <c r="Y83" s="457"/>
      <c r="Z83" s="457"/>
      <c r="AA83" s="103" t="s">
        <v>2286</v>
      </c>
      <c r="AB83" s="103" t="s">
        <v>2287</v>
      </c>
      <c r="AC83" s="458"/>
      <c r="AD83" s="458"/>
      <c r="AE83" s="458"/>
      <c r="AF83" s="458"/>
      <c r="AG83" s="459"/>
    </row>
    <row r="84" spans="1:33" ht="15.75" thickBot="1">
      <c r="A84" s="395" t="s">
        <v>2277</v>
      </c>
      <c r="B84" s="398" t="s">
        <v>1809</v>
      </c>
      <c r="C84" s="395" t="s">
        <v>590</v>
      </c>
      <c r="D84" s="409" t="s">
        <v>599</v>
      </c>
      <c r="E84" s="414" t="e">
        <f>VLOOKUP(D84,OfertaPlazas!B:D,3,FALSE)</f>
        <v>#N/A</v>
      </c>
      <c r="F84" s="398" t="s">
        <v>599</v>
      </c>
      <c r="G84" s="411">
        <v>897379108</v>
      </c>
      <c r="H84" s="398" t="s">
        <v>76</v>
      </c>
      <c r="I84" s="398" t="s">
        <v>76</v>
      </c>
      <c r="J84" s="398" t="s">
        <v>76</v>
      </c>
      <c r="K84" s="390" t="s">
        <v>75</v>
      </c>
      <c r="L84" s="390" t="s">
        <v>75</v>
      </c>
      <c r="M84" s="390" t="s">
        <v>76</v>
      </c>
      <c r="N84" s="390" t="s">
        <v>75</v>
      </c>
      <c r="O84" s="390" t="s">
        <v>76</v>
      </c>
      <c r="P84" s="395" t="s">
        <v>2363</v>
      </c>
      <c r="Q84" s="456" t="s">
        <v>75</v>
      </c>
      <c r="R84" s="456" t="s">
        <v>2301</v>
      </c>
      <c r="S84" s="389" t="s">
        <v>2352</v>
      </c>
      <c r="T84" s="389" t="s">
        <v>2352</v>
      </c>
      <c r="U84" s="389">
        <v>1</v>
      </c>
      <c r="V84" s="389">
        <v>1</v>
      </c>
      <c r="W84" s="457">
        <v>44331</v>
      </c>
      <c r="X84" s="457">
        <v>44515</v>
      </c>
      <c r="Y84" s="457">
        <v>44348</v>
      </c>
      <c r="Z84" s="457">
        <v>44531</v>
      </c>
      <c r="AA84" s="103" t="s">
        <v>2282</v>
      </c>
      <c r="AB84" s="103" t="s">
        <v>2283</v>
      </c>
      <c r="AC84" s="458"/>
      <c r="AD84" s="458" t="s">
        <v>2284</v>
      </c>
      <c r="AE84" s="458" t="s">
        <v>2285</v>
      </c>
      <c r="AF84" s="458"/>
      <c r="AG84" s="459"/>
    </row>
    <row r="85" spans="1:33" ht="15.75" thickBot="1">
      <c r="A85" s="395"/>
      <c r="B85" s="398"/>
      <c r="C85" s="395"/>
      <c r="D85" s="410"/>
      <c r="E85" s="415"/>
      <c r="F85" s="398"/>
      <c r="G85" s="411"/>
      <c r="H85" s="398"/>
      <c r="I85" s="398"/>
      <c r="J85" s="398"/>
      <c r="K85" s="390"/>
      <c r="L85" s="390"/>
      <c r="M85" s="390"/>
      <c r="N85" s="390"/>
      <c r="O85" s="390"/>
      <c r="P85" s="395"/>
      <c r="Q85" s="456"/>
      <c r="R85" s="456"/>
      <c r="S85" s="389"/>
      <c r="T85" s="389"/>
      <c r="U85" s="389"/>
      <c r="V85" s="389"/>
      <c r="W85" s="457"/>
      <c r="X85" s="457"/>
      <c r="Y85" s="457"/>
      <c r="Z85" s="457"/>
      <c r="AA85" s="103" t="s">
        <v>2286</v>
      </c>
      <c r="AB85" s="103" t="s">
        <v>2287</v>
      </c>
      <c r="AC85" s="458"/>
      <c r="AD85" s="458"/>
      <c r="AE85" s="458"/>
      <c r="AF85" s="458"/>
      <c r="AG85" s="459"/>
    </row>
    <row r="86" spans="1:33" ht="15.75" thickBot="1">
      <c r="A86" s="395" t="s">
        <v>2277</v>
      </c>
      <c r="B86" s="398" t="s">
        <v>1809</v>
      </c>
      <c r="C86" s="395" t="s">
        <v>2364</v>
      </c>
      <c r="D86" s="409" t="s">
        <v>611</v>
      </c>
      <c r="E86" s="414" t="str">
        <f>VLOOKUP(D86,OfertaPlazas!B:D,3,FALSE)</f>
        <v>Paris</v>
      </c>
      <c r="F86" s="398" t="s">
        <v>612</v>
      </c>
      <c r="G86" s="411">
        <v>948986115</v>
      </c>
      <c r="H86" s="398" t="s">
        <v>76</v>
      </c>
      <c r="I86" s="398" t="s">
        <v>76</v>
      </c>
      <c r="J86" s="398" t="s">
        <v>76</v>
      </c>
      <c r="K86" s="390" t="s">
        <v>75</v>
      </c>
      <c r="L86" s="390" t="s">
        <v>75</v>
      </c>
      <c r="M86" s="390" t="s">
        <v>76</v>
      </c>
      <c r="N86" s="390" t="s">
        <v>75</v>
      </c>
      <c r="O86" s="390" t="s">
        <v>76</v>
      </c>
      <c r="P86" s="395" t="s">
        <v>2280</v>
      </c>
      <c r="Q86" s="456" t="s">
        <v>75</v>
      </c>
      <c r="R86" s="421" t="s">
        <v>2281</v>
      </c>
      <c r="S86" s="389" t="s">
        <v>2280</v>
      </c>
      <c r="T86" s="389" t="s">
        <v>2280</v>
      </c>
      <c r="U86" s="389">
        <v>1</v>
      </c>
      <c r="V86" s="389">
        <v>1</v>
      </c>
      <c r="W86" s="457">
        <v>44331</v>
      </c>
      <c r="X86" s="457">
        <v>44515</v>
      </c>
      <c r="Y86" s="457">
        <v>44348</v>
      </c>
      <c r="Z86" s="457">
        <v>44531</v>
      </c>
      <c r="AA86" s="103" t="s">
        <v>2282</v>
      </c>
      <c r="AB86" s="103" t="s">
        <v>2283</v>
      </c>
      <c r="AC86" s="458"/>
      <c r="AD86" s="458" t="s">
        <v>2284</v>
      </c>
      <c r="AE86" s="458" t="s">
        <v>2285</v>
      </c>
      <c r="AF86" s="458"/>
      <c r="AG86" s="459"/>
    </row>
    <row r="87" spans="1:33" ht="15.75" thickBot="1">
      <c r="A87" s="395"/>
      <c r="B87" s="398"/>
      <c r="C87" s="395"/>
      <c r="D87" s="410"/>
      <c r="E87" s="415"/>
      <c r="F87" s="398"/>
      <c r="G87" s="411"/>
      <c r="H87" s="398"/>
      <c r="I87" s="398"/>
      <c r="J87" s="398"/>
      <c r="K87" s="390"/>
      <c r="L87" s="390"/>
      <c r="M87" s="390"/>
      <c r="N87" s="390"/>
      <c r="O87" s="390"/>
      <c r="P87" s="395"/>
      <c r="Q87" s="456"/>
      <c r="R87" s="421"/>
      <c r="S87" s="389"/>
      <c r="T87" s="389"/>
      <c r="U87" s="389"/>
      <c r="V87" s="389"/>
      <c r="W87" s="457"/>
      <c r="X87" s="457"/>
      <c r="Y87" s="457"/>
      <c r="Z87" s="457"/>
      <c r="AA87" s="103" t="s">
        <v>2286</v>
      </c>
      <c r="AB87" s="103" t="s">
        <v>2287</v>
      </c>
      <c r="AC87" s="458"/>
      <c r="AD87" s="458"/>
      <c r="AE87" s="458"/>
      <c r="AF87" s="458"/>
      <c r="AG87" s="459"/>
    </row>
    <row r="88" spans="1:33" ht="15.75" thickBot="1">
      <c r="A88" s="395" t="s">
        <v>2277</v>
      </c>
      <c r="B88" s="398" t="s">
        <v>1809</v>
      </c>
      <c r="C88" s="395" t="s">
        <v>624</v>
      </c>
      <c r="D88" s="409" t="s">
        <v>2365</v>
      </c>
      <c r="E88" s="414" t="e">
        <f>VLOOKUP(D88,OfertaPlazas!B:D,3,FALSE)</f>
        <v>#N/A</v>
      </c>
      <c r="F88" s="398" t="s">
        <v>2366</v>
      </c>
      <c r="G88" s="411">
        <v>997972667</v>
      </c>
      <c r="H88" s="398" t="s">
        <v>76</v>
      </c>
      <c r="I88" s="398" t="s">
        <v>76</v>
      </c>
      <c r="J88" s="398" t="s">
        <v>76</v>
      </c>
      <c r="K88" s="390" t="s">
        <v>75</v>
      </c>
      <c r="L88" s="390" t="s">
        <v>75</v>
      </c>
      <c r="M88" s="390" t="s">
        <v>76</v>
      </c>
      <c r="N88" s="390" t="s">
        <v>75</v>
      </c>
      <c r="O88" s="390" t="s">
        <v>76</v>
      </c>
      <c r="P88" s="395" t="s">
        <v>2297</v>
      </c>
      <c r="Q88" s="456" t="s">
        <v>75</v>
      </c>
      <c r="R88" s="421" t="s">
        <v>2281</v>
      </c>
      <c r="S88" s="389" t="s">
        <v>2297</v>
      </c>
      <c r="T88" s="389" t="s">
        <v>2297</v>
      </c>
      <c r="U88" s="389">
        <v>1</v>
      </c>
      <c r="V88" s="389">
        <v>1</v>
      </c>
      <c r="W88" s="457">
        <v>44331</v>
      </c>
      <c r="X88" s="457">
        <v>44515</v>
      </c>
      <c r="Y88" s="457">
        <v>44348</v>
      </c>
      <c r="Z88" s="457">
        <v>44531</v>
      </c>
      <c r="AA88" s="103" t="s">
        <v>2282</v>
      </c>
      <c r="AB88" s="103" t="s">
        <v>2283</v>
      </c>
      <c r="AC88" s="458"/>
      <c r="AD88" s="458" t="s">
        <v>2284</v>
      </c>
      <c r="AE88" s="458" t="s">
        <v>2285</v>
      </c>
      <c r="AF88" s="458"/>
      <c r="AG88" s="459"/>
    </row>
    <row r="89" spans="1:33" ht="15.75" thickBot="1">
      <c r="A89" s="395"/>
      <c r="B89" s="398"/>
      <c r="C89" s="395"/>
      <c r="D89" s="410"/>
      <c r="E89" s="415"/>
      <c r="F89" s="398"/>
      <c r="G89" s="411"/>
      <c r="H89" s="398"/>
      <c r="I89" s="398"/>
      <c r="J89" s="398"/>
      <c r="K89" s="390"/>
      <c r="L89" s="390"/>
      <c r="M89" s="390"/>
      <c r="N89" s="390"/>
      <c r="O89" s="390"/>
      <c r="P89" s="395"/>
      <c r="Q89" s="456"/>
      <c r="R89" s="421"/>
      <c r="S89" s="389"/>
      <c r="T89" s="389"/>
      <c r="U89" s="389"/>
      <c r="V89" s="389"/>
      <c r="W89" s="457"/>
      <c r="X89" s="457"/>
      <c r="Y89" s="457"/>
      <c r="Z89" s="457"/>
      <c r="AA89" s="103" t="s">
        <v>2286</v>
      </c>
      <c r="AB89" s="103" t="s">
        <v>2287</v>
      </c>
      <c r="AC89" s="458"/>
      <c r="AD89" s="458"/>
      <c r="AE89" s="458"/>
      <c r="AF89" s="458"/>
      <c r="AG89" s="459"/>
    </row>
    <row r="90" spans="1:33" ht="15.75" thickBot="1">
      <c r="A90" s="395" t="s">
        <v>2277</v>
      </c>
      <c r="B90" s="398" t="s">
        <v>1809</v>
      </c>
      <c r="C90" s="395" t="s">
        <v>624</v>
      </c>
      <c r="D90" s="409" t="s">
        <v>622</v>
      </c>
      <c r="E90" s="414" t="str">
        <f>VLOOKUP(D90,OfertaPlazas!B:D,3,FALSE)</f>
        <v>Lille</v>
      </c>
      <c r="F90" s="398" t="s">
        <v>2367</v>
      </c>
      <c r="G90" s="411">
        <v>999899378</v>
      </c>
      <c r="H90" s="398" t="s">
        <v>76</v>
      </c>
      <c r="I90" s="398" t="s">
        <v>76</v>
      </c>
      <c r="J90" s="398" t="s">
        <v>76</v>
      </c>
      <c r="K90" s="390" t="s">
        <v>75</v>
      </c>
      <c r="L90" s="390" t="s">
        <v>75</v>
      </c>
      <c r="M90" s="390" t="s">
        <v>76</v>
      </c>
      <c r="N90" s="390" t="s">
        <v>75</v>
      </c>
      <c r="O90" s="390" t="s">
        <v>76</v>
      </c>
      <c r="P90" s="395" t="s">
        <v>2312</v>
      </c>
      <c r="Q90" s="456" t="s">
        <v>75</v>
      </c>
      <c r="R90" s="421" t="s">
        <v>2281</v>
      </c>
      <c r="S90" s="389" t="s">
        <v>2293</v>
      </c>
      <c r="T90" s="389" t="s">
        <v>2293</v>
      </c>
      <c r="U90" s="389">
        <v>1</v>
      </c>
      <c r="V90" s="389">
        <v>1</v>
      </c>
      <c r="W90" s="457">
        <v>44331</v>
      </c>
      <c r="X90" s="457">
        <v>44515</v>
      </c>
      <c r="Y90" s="457">
        <v>44348</v>
      </c>
      <c r="Z90" s="457">
        <v>44531</v>
      </c>
      <c r="AA90" s="103" t="s">
        <v>2282</v>
      </c>
      <c r="AB90" s="103" t="s">
        <v>2283</v>
      </c>
      <c r="AC90" s="458"/>
      <c r="AD90" s="458" t="s">
        <v>2284</v>
      </c>
      <c r="AE90" s="458" t="s">
        <v>2285</v>
      </c>
      <c r="AF90" s="458"/>
      <c r="AG90" s="459"/>
    </row>
    <row r="91" spans="1:33" ht="15.75" thickBot="1">
      <c r="A91" s="395"/>
      <c r="B91" s="398"/>
      <c r="C91" s="395"/>
      <c r="D91" s="410"/>
      <c r="E91" s="415"/>
      <c r="F91" s="398"/>
      <c r="G91" s="411"/>
      <c r="H91" s="398"/>
      <c r="I91" s="398"/>
      <c r="J91" s="398"/>
      <c r="K91" s="390"/>
      <c r="L91" s="390"/>
      <c r="M91" s="390"/>
      <c r="N91" s="390"/>
      <c r="O91" s="390"/>
      <c r="P91" s="395"/>
      <c r="Q91" s="456"/>
      <c r="R91" s="421"/>
      <c r="S91" s="389"/>
      <c r="T91" s="389"/>
      <c r="U91" s="389"/>
      <c r="V91" s="389"/>
      <c r="W91" s="457"/>
      <c r="X91" s="457"/>
      <c r="Y91" s="457"/>
      <c r="Z91" s="457"/>
      <c r="AA91" s="103" t="s">
        <v>2286</v>
      </c>
      <c r="AB91" s="103" t="s">
        <v>2287</v>
      </c>
      <c r="AC91" s="458"/>
      <c r="AD91" s="458"/>
      <c r="AE91" s="458"/>
      <c r="AF91" s="458"/>
      <c r="AG91" s="459"/>
    </row>
    <row r="92" spans="1:33" ht="15.75" thickBot="1">
      <c r="A92" s="395" t="s">
        <v>2277</v>
      </c>
      <c r="B92" s="398" t="s">
        <v>1809</v>
      </c>
      <c r="C92" s="395" t="s">
        <v>661</v>
      </c>
      <c r="D92" s="409" t="s">
        <v>671</v>
      </c>
      <c r="E92" s="414" t="str">
        <f>VLOOKUP(D92,OfertaPlazas!B:D,3,FALSE)</f>
        <v>Lyon</v>
      </c>
      <c r="F92" s="398" t="s">
        <v>2368</v>
      </c>
      <c r="G92" s="411">
        <v>999886089</v>
      </c>
      <c r="H92" s="398" t="s">
        <v>76</v>
      </c>
      <c r="I92" s="398" t="s">
        <v>76</v>
      </c>
      <c r="J92" s="398" t="s">
        <v>76</v>
      </c>
      <c r="K92" s="390" t="s">
        <v>75</v>
      </c>
      <c r="L92" s="390" t="s">
        <v>75</v>
      </c>
      <c r="M92" s="390" t="s">
        <v>76</v>
      </c>
      <c r="N92" s="390" t="s">
        <v>75</v>
      </c>
      <c r="O92" s="390" t="s">
        <v>76</v>
      </c>
      <c r="P92" s="395" t="s">
        <v>2280</v>
      </c>
      <c r="Q92" s="456" t="s">
        <v>75</v>
      </c>
      <c r="R92" s="105" t="s">
        <v>2281</v>
      </c>
      <c r="S92" s="389" t="s">
        <v>2280</v>
      </c>
      <c r="T92" s="389" t="s">
        <v>2280</v>
      </c>
      <c r="U92" s="389">
        <v>1</v>
      </c>
      <c r="V92" s="389">
        <v>1</v>
      </c>
      <c r="W92" s="457">
        <v>44331</v>
      </c>
      <c r="X92" s="457">
        <v>44515</v>
      </c>
      <c r="Y92" s="457">
        <v>44348</v>
      </c>
      <c r="Z92" s="457">
        <v>44531</v>
      </c>
      <c r="AA92" s="103" t="s">
        <v>2282</v>
      </c>
      <c r="AB92" s="103" t="s">
        <v>2283</v>
      </c>
      <c r="AC92" s="458"/>
      <c r="AD92" s="458" t="s">
        <v>2284</v>
      </c>
      <c r="AE92" s="458" t="s">
        <v>2285</v>
      </c>
      <c r="AF92" s="458"/>
      <c r="AG92" s="459" t="s">
        <v>2369</v>
      </c>
    </row>
    <row r="93" spans="1:33" ht="15.75" thickBot="1">
      <c r="A93" s="395"/>
      <c r="B93" s="398"/>
      <c r="C93" s="395"/>
      <c r="D93" s="410"/>
      <c r="E93" s="415"/>
      <c r="F93" s="398"/>
      <c r="G93" s="411"/>
      <c r="H93" s="398"/>
      <c r="I93" s="398"/>
      <c r="J93" s="398"/>
      <c r="K93" s="390"/>
      <c r="L93" s="390"/>
      <c r="M93" s="390"/>
      <c r="N93" s="390"/>
      <c r="O93" s="390"/>
      <c r="P93" s="395"/>
      <c r="Q93" s="456"/>
      <c r="R93" s="105" t="s">
        <v>2294</v>
      </c>
      <c r="S93" s="389"/>
      <c r="T93" s="389"/>
      <c r="U93" s="389"/>
      <c r="V93" s="389"/>
      <c r="W93" s="457"/>
      <c r="X93" s="457"/>
      <c r="Y93" s="457"/>
      <c r="Z93" s="457"/>
      <c r="AA93" s="103" t="s">
        <v>2286</v>
      </c>
      <c r="AB93" s="103" t="s">
        <v>2287</v>
      </c>
      <c r="AC93" s="458"/>
      <c r="AD93" s="458"/>
      <c r="AE93" s="458"/>
      <c r="AF93" s="458"/>
      <c r="AG93" s="459"/>
    </row>
    <row r="94" spans="1:33" ht="15.75" thickBot="1">
      <c r="A94" s="395" t="s">
        <v>2277</v>
      </c>
      <c r="B94" s="398" t="s">
        <v>1809</v>
      </c>
      <c r="C94" s="395" t="s">
        <v>696</v>
      </c>
      <c r="D94" s="409" t="s">
        <v>694</v>
      </c>
      <c r="E94" s="414" t="str">
        <f>VLOOKUP(D94,OfertaPlazas!B:D,3,FALSE)</f>
        <v>Nancy</v>
      </c>
      <c r="F94" s="398" t="s">
        <v>2370</v>
      </c>
      <c r="G94" s="411">
        <v>954831626</v>
      </c>
      <c r="H94" s="398" t="s">
        <v>76</v>
      </c>
      <c r="I94" s="398" t="s">
        <v>76</v>
      </c>
      <c r="J94" s="398" t="s">
        <v>76</v>
      </c>
      <c r="K94" s="390" t="s">
        <v>75</v>
      </c>
      <c r="L94" s="390" t="s">
        <v>75</v>
      </c>
      <c r="M94" s="390" t="s">
        <v>76</v>
      </c>
      <c r="N94" s="390" t="s">
        <v>75</v>
      </c>
      <c r="O94" s="390" t="s">
        <v>76</v>
      </c>
      <c r="P94" s="395" t="s">
        <v>2291</v>
      </c>
      <c r="Q94" s="456" t="s">
        <v>75</v>
      </c>
      <c r="R94" s="105" t="s">
        <v>2281</v>
      </c>
      <c r="S94" s="389" t="s">
        <v>2291</v>
      </c>
      <c r="T94" s="389" t="s">
        <v>2291</v>
      </c>
      <c r="U94" s="389">
        <v>1</v>
      </c>
      <c r="V94" s="389">
        <v>1</v>
      </c>
      <c r="W94" s="457">
        <v>44331</v>
      </c>
      <c r="X94" s="457">
        <v>44515</v>
      </c>
      <c r="Y94" s="457">
        <v>44348</v>
      </c>
      <c r="Z94" s="457">
        <v>44531</v>
      </c>
      <c r="AA94" s="103" t="s">
        <v>2282</v>
      </c>
      <c r="AB94" s="103" t="s">
        <v>2283</v>
      </c>
      <c r="AC94" s="458"/>
      <c r="AD94" s="458" t="s">
        <v>2284</v>
      </c>
      <c r="AE94" s="458" t="s">
        <v>2285</v>
      </c>
      <c r="AF94" s="458"/>
      <c r="AG94" s="459"/>
    </row>
    <row r="95" spans="1:33" ht="15.75" thickBot="1">
      <c r="A95" s="395"/>
      <c r="B95" s="398"/>
      <c r="C95" s="395"/>
      <c r="D95" s="410"/>
      <c r="E95" s="415"/>
      <c r="F95" s="398"/>
      <c r="G95" s="411"/>
      <c r="H95" s="398"/>
      <c r="I95" s="398"/>
      <c r="J95" s="398"/>
      <c r="K95" s="390"/>
      <c r="L95" s="390"/>
      <c r="M95" s="390"/>
      <c r="N95" s="390"/>
      <c r="O95" s="390"/>
      <c r="P95" s="395"/>
      <c r="Q95" s="456"/>
      <c r="R95" s="105" t="s">
        <v>2301</v>
      </c>
      <c r="S95" s="389"/>
      <c r="T95" s="389"/>
      <c r="U95" s="389"/>
      <c r="V95" s="389"/>
      <c r="W95" s="457"/>
      <c r="X95" s="457"/>
      <c r="Y95" s="457"/>
      <c r="Z95" s="457"/>
      <c r="AA95" s="103" t="s">
        <v>2286</v>
      </c>
      <c r="AB95" s="103" t="s">
        <v>2287</v>
      </c>
      <c r="AC95" s="458"/>
      <c r="AD95" s="458"/>
      <c r="AE95" s="458"/>
      <c r="AF95" s="458"/>
      <c r="AG95" s="459"/>
    </row>
    <row r="96" spans="1:33" ht="15.75" thickBot="1">
      <c r="A96" s="395" t="s">
        <v>2277</v>
      </c>
      <c r="B96" s="398" t="s">
        <v>1809</v>
      </c>
      <c r="C96" s="395" t="s">
        <v>713</v>
      </c>
      <c r="D96" s="409" t="s">
        <v>2371</v>
      </c>
      <c r="E96" s="414" t="e">
        <f>VLOOKUP(D96,OfertaPlazas!B:D,3,FALSE)</f>
        <v>#N/A</v>
      </c>
      <c r="F96" s="398" t="s">
        <v>2372</v>
      </c>
      <c r="G96" s="411">
        <v>999509050</v>
      </c>
      <c r="H96" s="398" t="s">
        <v>76</v>
      </c>
      <c r="I96" s="398" t="s">
        <v>76</v>
      </c>
      <c r="J96" s="398" t="s">
        <v>76</v>
      </c>
      <c r="K96" s="390" t="s">
        <v>76</v>
      </c>
      <c r="L96" s="390" t="s">
        <v>75</v>
      </c>
      <c r="M96" s="390" t="s">
        <v>76</v>
      </c>
      <c r="N96" s="390" t="s">
        <v>75</v>
      </c>
      <c r="O96" s="390" t="s">
        <v>76</v>
      </c>
      <c r="P96" s="395" t="s">
        <v>2373</v>
      </c>
      <c r="Q96" s="456" t="s">
        <v>75</v>
      </c>
      <c r="R96" s="421" t="s">
        <v>2281</v>
      </c>
      <c r="S96" s="389" t="s">
        <v>2374</v>
      </c>
      <c r="T96" s="389" t="s">
        <v>2374</v>
      </c>
      <c r="U96" s="389">
        <v>1</v>
      </c>
      <c r="V96" s="389">
        <v>1</v>
      </c>
      <c r="W96" s="457">
        <v>44331</v>
      </c>
      <c r="X96" s="457">
        <v>44515</v>
      </c>
      <c r="Y96" s="457">
        <v>44348</v>
      </c>
      <c r="Z96" s="457">
        <v>44531</v>
      </c>
      <c r="AA96" s="103" t="s">
        <v>2282</v>
      </c>
      <c r="AB96" s="103" t="s">
        <v>2283</v>
      </c>
      <c r="AC96" s="458"/>
      <c r="AD96" s="458" t="s">
        <v>2284</v>
      </c>
      <c r="AE96" s="458" t="s">
        <v>2285</v>
      </c>
      <c r="AF96" s="458"/>
      <c r="AG96" s="459"/>
    </row>
    <row r="97" spans="1:33" ht="15.75" thickBot="1">
      <c r="A97" s="395"/>
      <c r="B97" s="398"/>
      <c r="C97" s="395"/>
      <c r="D97" s="410"/>
      <c r="E97" s="415"/>
      <c r="F97" s="398"/>
      <c r="G97" s="411"/>
      <c r="H97" s="398"/>
      <c r="I97" s="398"/>
      <c r="J97" s="398"/>
      <c r="K97" s="390"/>
      <c r="L97" s="390"/>
      <c r="M97" s="390"/>
      <c r="N97" s="390"/>
      <c r="O97" s="390"/>
      <c r="P97" s="395"/>
      <c r="Q97" s="456"/>
      <c r="R97" s="421"/>
      <c r="S97" s="389"/>
      <c r="T97" s="389"/>
      <c r="U97" s="389"/>
      <c r="V97" s="389"/>
      <c r="W97" s="457"/>
      <c r="X97" s="457"/>
      <c r="Y97" s="457"/>
      <c r="Z97" s="457"/>
      <c r="AA97" s="103" t="s">
        <v>2286</v>
      </c>
      <c r="AB97" s="103" t="s">
        <v>2287</v>
      </c>
      <c r="AC97" s="458"/>
      <c r="AD97" s="458"/>
      <c r="AE97" s="458"/>
      <c r="AF97" s="458"/>
      <c r="AG97" s="459"/>
    </row>
    <row r="98" spans="1:33" ht="15.75" thickBot="1">
      <c r="A98" s="395" t="s">
        <v>2277</v>
      </c>
      <c r="B98" s="398" t="s">
        <v>1809</v>
      </c>
      <c r="C98" s="395" t="s">
        <v>713</v>
      </c>
      <c r="D98" s="409" t="s">
        <v>711</v>
      </c>
      <c r="E98" s="414" t="str">
        <f>VLOOKUP(D98,OfertaPlazas!B:D,3,FALSE)</f>
        <v>Nantes</v>
      </c>
      <c r="F98" s="398" t="s">
        <v>2375</v>
      </c>
      <c r="G98" s="411">
        <v>999854176</v>
      </c>
      <c r="H98" s="398" t="s">
        <v>76</v>
      </c>
      <c r="I98" s="398" t="s">
        <v>76</v>
      </c>
      <c r="J98" s="398" t="s">
        <v>76</v>
      </c>
      <c r="K98" s="390" t="s">
        <v>75</v>
      </c>
      <c r="L98" s="390" t="s">
        <v>75</v>
      </c>
      <c r="M98" s="390" t="s">
        <v>76</v>
      </c>
      <c r="N98" s="390" t="s">
        <v>75</v>
      </c>
      <c r="O98" s="390" t="s">
        <v>76</v>
      </c>
      <c r="P98" s="395" t="s">
        <v>2376</v>
      </c>
      <c r="Q98" s="456" t="s">
        <v>75</v>
      </c>
      <c r="R98" s="421" t="s">
        <v>2281</v>
      </c>
      <c r="S98" s="389" t="s">
        <v>2297</v>
      </c>
      <c r="T98" s="389" t="s">
        <v>2297</v>
      </c>
      <c r="U98" s="389">
        <v>1</v>
      </c>
      <c r="V98" s="389">
        <v>1</v>
      </c>
      <c r="W98" s="457">
        <v>44331</v>
      </c>
      <c r="X98" s="457">
        <v>44515</v>
      </c>
      <c r="Y98" s="457">
        <v>44348</v>
      </c>
      <c r="Z98" s="457">
        <v>44531</v>
      </c>
      <c r="AA98" s="103" t="s">
        <v>2282</v>
      </c>
      <c r="AB98" s="103" t="s">
        <v>2283</v>
      </c>
      <c r="AC98" s="458"/>
      <c r="AD98" s="458" t="s">
        <v>2284</v>
      </c>
      <c r="AE98" s="458" t="s">
        <v>2285</v>
      </c>
      <c r="AF98" s="458"/>
      <c r="AG98" s="459"/>
    </row>
    <row r="99" spans="1:33" ht="15.75" thickBot="1">
      <c r="A99" s="395"/>
      <c r="B99" s="398"/>
      <c r="C99" s="395"/>
      <c r="D99" s="410"/>
      <c r="E99" s="415"/>
      <c r="F99" s="398"/>
      <c r="G99" s="411"/>
      <c r="H99" s="398"/>
      <c r="I99" s="398"/>
      <c r="J99" s="398"/>
      <c r="K99" s="390"/>
      <c r="L99" s="390"/>
      <c r="M99" s="390"/>
      <c r="N99" s="390"/>
      <c r="O99" s="390"/>
      <c r="P99" s="395"/>
      <c r="Q99" s="456"/>
      <c r="R99" s="421"/>
      <c r="S99" s="389"/>
      <c r="T99" s="389"/>
      <c r="U99" s="389"/>
      <c r="V99" s="389"/>
      <c r="W99" s="457"/>
      <c r="X99" s="457"/>
      <c r="Y99" s="457"/>
      <c r="Z99" s="457"/>
      <c r="AA99" s="103" t="s">
        <v>2286</v>
      </c>
      <c r="AB99" s="103" t="s">
        <v>2287</v>
      </c>
      <c r="AC99" s="458"/>
      <c r="AD99" s="458"/>
      <c r="AE99" s="458"/>
      <c r="AF99" s="458"/>
      <c r="AG99" s="459"/>
    </row>
    <row r="100" spans="1:33" ht="15.75" thickBot="1">
      <c r="A100" s="395" t="s">
        <v>2277</v>
      </c>
      <c r="B100" s="398" t="s">
        <v>1809</v>
      </c>
      <c r="C100" s="395" t="s">
        <v>2377</v>
      </c>
      <c r="D100" s="409" t="s">
        <v>739</v>
      </c>
      <c r="E100" s="414" t="str">
        <f>VLOOKUP(D100,OfertaPlazas!B:D,3,FALSE)</f>
        <v>Palaiseau</v>
      </c>
      <c r="F100" s="398" t="s">
        <v>2378</v>
      </c>
      <c r="G100" s="411">
        <v>999633016</v>
      </c>
      <c r="H100" s="398" t="s">
        <v>76</v>
      </c>
      <c r="I100" s="398" t="s">
        <v>76</v>
      </c>
      <c r="J100" s="398" t="s">
        <v>76</v>
      </c>
      <c r="K100" s="390" t="s">
        <v>75</v>
      </c>
      <c r="L100" s="390" t="s">
        <v>75</v>
      </c>
      <c r="M100" s="390" t="s">
        <v>76</v>
      </c>
      <c r="N100" s="390" t="s">
        <v>75</v>
      </c>
      <c r="O100" s="390" t="s">
        <v>76</v>
      </c>
      <c r="P100" s="395" t="s">
        <v>2291</v>
      </c>
      <c r="Q100" s="456" t="s">
        <v>75</v>
      </c>
      <c r="R100" s="421" t="s">
        <v>2281</v>
      </c>
      <c r="S100" s="389" t="s">
        <v>2291</v>
      </c>
      <c r="T100" s="389" t="s">
        <v>2291</v>
      </c>
      <c r="U100" s="389">
        <v>1</v>
      </c>
      <c r="V100" s="389">
        <v>1</v>
      </c>
      <c r="W100" s="457">
        <v>44331</v>
      </c>
      <c r="X100" s="457">
        <v>44515</v>
      </c>
      <c r="Y100" s="457">
        <v>44348</v>
      </c>
      <c r="Z100" s="457">
        <v>44531</v>
      </c>
      <c r="AA100" s="103" t="s">
        <v>2282</v>
      </c>
      <c r="AB100" s="103" t="s">
        <v>2283</v>
      </c>
      <c r="AC100" s="458"/>
      <c r="AD100" s="458" t="s">
        <v>2284</v>
      </c>
      <c r="AE100" s="458" t="s">
        <v>2285</v>
      </c>
      <c r="AF100" s="458"/>
      <c r="AG100" s="459"/>
    </row>
    <row r="101" spans="1:33" ht="15.75" thickBot="1">
      <c r="A101" s="395"/>
      <c r="B101" s="398"/>
      <c r="C101" s="395"/>
      <c r="D101" s="410"/>
      <c r="E101" s="415"/>
      <c r="F101" s="398"/>
      <c r="G101" s="411"/>
      <c r="H101" s="398"/>
      <c r="I101" s="398"/>
      <c r="J101" s="398"/>
      <c r="K101" s="390"/>
      <c r="L101" s="390"/>
      <c r="M101" s="390"/>
      <c r="N101" s="390"/>
      <c r="O101" s="390"/>
      <c r="P101" s="395"/>
      <c r="Q101" s="456"/>
      <c r="R101" s="421"/>
      <c r="S101" s="389"/>
      <c r="T101" s="389"/>
      <c r="U101" s="389"/>
      <c r="V101" s="389"/>
      <c r="W101" s="457"/>
      <c r="X101" s="457"/>
      <c r="Y101" s="457"/>
      <c r="Z101" s="457"/>
      <c r="AA101" s="103" t="s">
        <v>2286</v>
      </c>
      <c r="AB101" s="103" t="s">
        <v>2287</v>
      </c>
      <c r="AC101" s="458"/>
      <c r="AD101" s="458"/>
      <c r="AE101" s="458"/>
      <c r="AF101" s="458"/>
      <c r="AG101" s="459"/>
    </row>
    <row r="102" spans="1:33" ht="15.75" thickBot="1">
      <c r="A102" s="395" t="s">
        <v>2277</v>
      </c>
      <c r="B102" s="398" t="s">
        <v>1809</v>
      </c>
      <c r="C102" s="395" t="s">
        <v>741</v>
      </c>
      <c r="D102" s="409" t="s">
        <v>1895</v>
      </c>
      <c r="E102" s="414" t="e">
        <f>VLOOKUP(D102,OfertaPlazas!B:D,3,FALSE)</f>
        <v>#N/A</v>
      </c>
      <c r="F102" s="398" t="s">
        <v>1895</v>
      </c>
      <c r="G102" s="411">
        <v>999864264</v>
      </c>
      <c r="H102" s="398" t="s">
        <v>76</v>
      </c>
      <c r="I102" s="398" t="s">
        <v>76</v>
      </c>
      <c r="J102" s="398" t="s">
        <v>76</v>
      </c>
      <c r="K102" s="390" t="s">
        <v>76</v>
      </c>
      <c r="L102" s="390" t="s">
        <v>75</v>
      </c>
      <c r="M102" s="390" t="s">
        <v>75</v>
      </c>
      <c r="N102" s="390" t="s">
        <v>75</v>
      </c>
      <c r="O102" s="390" t="s">
        <v>75</v>
      </c>
      <c r="P102" s="395" t="s">
        <v>2293</v>
      </c>
      <c r="Q102" s="456" t="s">
        <v>75</v>
      </c>
      <c r="R102" s="421" t="s">
        <v>2281</v>
      </c>
      <c r="S102" s="389" t="s">
        <v>2293</v>
      </c>
      <c r="T102" s="389" t="s">
        <v>2293</v>
      </c>
      <c r="U102" s="389">
        <v>1</v>
      </c>
      <c r="V102" s="389">
        <v>1</v>
      </c>
      <c r="W102" s="457">
        <v>44331</v>
      </c>
      <c r="X102" s="457">
        <v>44515</v>
      </c>
      <c r="Y102" s="457">
        <v>44348</v>
      </c>
      <c r="Z102" s="457">
        <v>44531</v>
      </c>
      <c r="AA102" s="103" t="s">
        <v>2282</v>
      </c>
      <c r="AB102" s="103" t="s">
        <v>2283</v>
      </c>
      <c r="AC102" s="458"/>
      <c r="AD102" s="458" t="s">
        <v>2284</v>
      </c>
      <c r="AE102" s="458" t="s">
        <v>2285</v>
      </c>
      <c r="AF102" s="458"/>
      <c r="AG102" s="459"/>
    </row>
    <row r="103" spans="1:33" ht="15.75" thickBot="1">
      <c r="A103" s="395"/>
      <c r="B103" s="398"/>
      <c r="C103" s="395"/>
      <c r="D103" s="410"/>
      <c r="E103" s="415"/>
      <c r="F103" s="398"/>
      <c r="G103" s="411"/>
      <c r="H103" s="398"/>
      <c r="I103" s="398"/>
      <c r="J103" s="398"/>
      <c r="K103" s="390"/>
      <c r="L103" s="390"/>
      <c r="M103" s="390"/>
      <c r="N103" s="390"/>
      <c r="O103" s="390"/>
      <c r="P103" s="395"/>
      <c r="Q103" s="456"/>
      <c r="R103" s="421"/>
      <c r="S103" s="389"/>
      <c r="T103" s="389"/>
      <c r="U103" s="389"/>
      <c r="V103" s="389"/>
      <c r="W103" s="457"/>
      <c r="X103" s="457"/>
      <c r="Y103" s="457"/>
      <c r="Z103" s="457"/>
      <c r="AA103" s="103" t="s">
        <v>2286</v>
      </c>
      <c r="AB103" s="103" t="s">
        <v>2287</v>
      </c>
      <c r="AC103" s="458"/>
      <c r="AD103" s="458"/>
      <c r="AE103" s="458"/>
      <c r="AF103" s="458"/>
      <c r="AG103" s="459"/>
    </row>
    <row r="104" spans="1:33" ht="15.75" thickBot="1">
      <c r="A104" s="395" t="s">
        <v>2277</v>
      </c>
      <c r="B104" s="398" t="s">
        <v>1809</v>
      </c>
      <c r="C104" s="395" t="s">
        <v>474</v>
      </c>
      <c r="D104" s="409" t="s">
        <v>749</v>
      </c>
      <c r="E104" s="414" t="str">
        <f>VLOOKUP(D104,OfertaPlazas!B:D,3,FALSE)</f>
        <v>Paris</v>
      </c>
      <c r="F104" s="398" t="s">
        <v>2379</v>
      </c>
      <c r="G104" s="411">
        <v>998265122</v>
      </c>
      <c r="H104" s="398" t="s">
        <v>76</v>
      </c>
      <c r="I104" s="398" t="s">
        <v>76</v>
      </c>
      <c r="J104" s="398" t="s">
        <v>76</v>
      </c>
      <c r="K104" s="390" t="s">
        <v>75</v>
      </c>
      <c r="L104" s="390" t="s">
        <v>75</v>
      </c>
      <c r="M104" s="389" t="s">
        <v>75</v>
      </c>
      <c r="N104" s="390" t="s">
        <v>75</v>
      </c>
      <c r="O104" s="389" t="s">
        <v>75</v>
      </c>
      <c r="P104" s="395" t="s">
        <v>2293</v>
      </c>
      <c r="Q104" s="456" t="s">
        <v>75</v>
      </c>
      <c r="R104" s="421" t="s">
        <v>2281</v>
      </c>
      <c r="S104" s="389" t="s">
        <v>2293</v>
      </c>
      <c r="T104" s="389" t="s">
        <v>2293</v>
      </c>
      <c r="U104" s="389">
        <v>1</v>
      </c>
      <c r="V104" s="389">
        <v>1</v>
      </c>
      <c r="W104" s="457">
        <v>44331</v>
      </c>
      <c r="X104" s="457">
        <v>44515</v>
      </c>
      <c r="Y104" s="457">
        <v>44348</v>
      </c>
      <c r="Z104" s="457">
        <v>44531</v>
      </c>
      <c r="AA104" s="103" t="s">
        <v>2282</v>
      </c>
      <c r="AB104" s="103" t="s">
        <v>2283</v>
      </c>
      <c r="AC104" s="458"/>
      <c r="AD104" s="458" t="s">
        <v>2284</v>
      </c>
      <c r="AE104" s="458" t="s">
        <v>2285</v>
      </c>
      <c r="AF104" s="458"/>
      <c r="AG104" s="459"/>
    </row>
    <row r="105" spans="1:33" ht="15.75" thickBot="1">
      <c r="A105" s="395"/>
      <c r="B105" s="398"/>
      <c r="C105" s="395"/>
      <c r="D105" s="410"/>
      <c r="E105" s="415"/>
      <c r="F105" s="398"/>
      <c r="G105" s="411"/>
      <c r="H105" s="398"/>
      <c r="I105" s="398"/>
      <c r="J105" s="398"/>
      <c r="K105" s="390"/>
      <c r="L105" s="390"/>
      <c r="M105" s="389"/>
      <c r="N105" s="390"/>
      <c r="O105" s="389"/>
      <c r="P105" s="395"/>
      <c r="Q105" s="456"/>
      <c r="R105" s="421"/>
      <c r="S105" s="389"/>
      <c r="T105" s="389"/>
      <c r="U105" s="389"/>
      <c r="V105" s="389"/>
      <c r="W105" s="457"/>
      <c r="X105" s="457"/>
      <c r="Y105" s="457"/>
      <c r="Z105" s="457"/>
      <c r="AA105" s="103" t="s">
        <v>2286</v>
      </c>
      <c r="AB105" s="103" t="s">
        <v>2287</v>
      </c>
      <c r="AC105" s="458"/>
      <c r="AD105" s="458"/>
      <c r="AE105" s="458"/>
      <c r="AF105" s="458"/>
      <c r="AG105" s="459"/>
    </row>
    <row r="106" spans="1:33" ht="15.75" thickBot="1">
      <c r="A106" s="395" t="s">
        <v>2277</v>
      </c>
      <c r="B106" s="398" t="s">
        <v>1809</v>
      </c>
      <c r="C106" s="395" t="s">
        <v>474</v>
      </c>
      <c r="D106" s="409" t="s">
        <v>2380</v>
      </c>
      <c r="E106" s="414" t="e">
        <f>VLOOKUP(D106,OfertaPlazas!B:D,3,FALSE)</f>
        <v>#N/A</v>
      </c>
      <c r="F106" s="398" t="s">
        <v>2381</v>
      </c>
      <c r="G106" s="411">
        <v>998584737</v>
      </c>
      <c r="H106" s="398" t="s">
        <v>76</v>
      </c>
      <c r="I106" s="398" t="s">
        <v>76</v>
      </c>
      <c r="J106" s="398" t="s">
        <v>76</v>
      </c>
      <c r="K106" s="390" t="s">
        <v>75</v>
      </c>
      <c r="L106" s="390" t="s">
        <v>75</v>
      </c>
      <c r="M106" s="390" t="s">
        <v>76</v>
      </c>
      <c r="N106" s="390" t="s">
        <v>75</v>
      </c>
      <c r="O106" s="390" t="s">
        <v>76</v>
      </c>
      <c r="P106" s="395" t="s">
        <v>2293</v>
      </c>
      <c r="Q106" s="456" t="s">
        <v>75</v>
      </c>
      <c r="R106" s="105" t="s">
        <v>2281</v>
      </c>
      <c r="S106" s="389" t="s">
        <v>2293</v>
      </c>
      <c r="T106" s="389" t="s">
        <v>2293</v>
      </c>
      <c r="U106" s="389">
        <v>1</v>
      </c>
      <c r="V106" s="389">
        <v>1</v>
      </c>
      <c r="W106" s="457">
        <v>44331</v>
      </c>
      <c r="X106" s="457">
        <v>44515</v>
      </c>
      <c r="Y106" s="457">
        <v>44348</v>
      </c>
      <c r="Z106" s="457">
        <v>44531</v>
      </c>
      <c r="AA106" s="103" t="s">
        <v>2282</v>
      </c>
      <c r="AB106" s="103" t="s">
        <v>2283</v>
      </c>
      <c r="AC106" s="458"/>
      <c r="AD106" s="458" t="s">
        <v>2284</v>
      </c>
      <c r="AE106" s="458" t="s">
        <v>2285</v>
      </c>
      <c r="AF106" s="458"/>
      <c r="AG106" s="459"/>
    </row>
    <row r="107" spans="1:33" ht="15.75" thickBot="1">
      <c r="A107" s="395"/>
      <c r="B107" s="398"/>
      <c r="C107" s="395"/>
      <c r="D107" s="410"/>
      <c r="E107" s="415"/>
      <c r="F107" s="398"/>
      <c r="G107" s="411"/>
      <c r="H107" s="398"/>
      <c r="I107" s="398"/>
      <c r="J107" s="398"/>
      <c r="K107" s="390"/>
      <c r="L107" s="390"/>
      <c r="M107" s="390"/>
      <c r="N107" s="390"/>
      <c r="O107" s="390"/>
      <c r="P107" s="395"/>
      <c r="Q107" s="456"/>
      <c r="R107" s="105" t="s">
        <v>2301</v>
      </c>
      <c r="S107" s="389"/>
      <c r="T107" s="389"/>
      <c r="U107" s="389"/>
      <c r="V107" s="389"/>
      <c r="W107" s="457"/>
      <c r="X107" s="457"/>
      <c r="Y107" s="457"/>
      <c r="Z107" s="457"/>
      <c r="AA107" s="103" t="s">
        <v>2286</v>
      </c>
      <c r="AB107" s="103" t="s">
        <v>2287</v>
      </c>
      <c r="AC107" s="458"/>
      <c r="AD107" s="458"/>
      <c r="AE107" s="458"/>
      <c r="AF107" s="458"/>
      <c r="AG107" s="459"/>
    </row>
    <row r="108" spans="1:33" ht="15.75" thickBot="1">
      <c r="A108" s="395" t="s">
        <v>2277</v>
      </c>
      <c r="B108" s="398" t="s">
        <v>1809</v>
      </c>
      <c r="C108" s="395" t="s">
        <v>474</v>
      </c>
      <c r="D108" s="409" t="s">
        <v>794</v>
      </c>
      <c r="E108" s="414" t="str">
        <f>VLOOKUP(D108,OfertaPlazas!B:D,3,FALSE)</f>
        <v>Paris</v>
      </c>
      <c r="F108" s="398" t="s">
        <v>2382</v>
      </c>
      <c r="G108" s="411">
        <v>909875521</v>
      </c>
      <c r="H108" s="398" t="s">
        <v>76</v>
      </c>
      <c r="I108" s="398" t="s">
        <v>76</v>
      </c>
      <c r="J108" s="398" t="s">
        <v>76</v>
      </c>
      <c r="K108" s="390" t="s">
        <v>75</v>
      </c>
      <c r="L108" s="390" t="s">
        <v>75</v>
      </c>
      <c r="M108" s="390" t="s">
        <v>76</v>
      </c>
      <c r="N108" s="390" t="s">
        <v>75</v>
      </c>
      <c r="O108" s="390" t="s">
        <v>76</v>
      </c>
      <c r="P108" s="395" t="s">
        <v>2363</v>
      </c>
      <c r="Q108" s="456" t="s">
        <v>75</v>
      </c>
      <c r="R108" s="105" t="s">
        <v>2281</v>
      </c>
      <c r="S108" s="389" t="s">
        <v>2352</v>
      </c>
      <c r="T108" s="389" t="s">
        <v>2352</v>
      </c>
      <c r="U108" s="389">
        <v>1</v>
      </c>
      <c r="V108" s="389">
        <v>1</v>
      </c>
      <c r="W108" s="457">
        <v>44331</v>
      </c>
      <c r="X108" s="457">
        <v>44515</v>
      </c>
      <c r="Y108" s="457">
        <v>44348</v>
      </c>
      <c r="Z108" s="457">
        <v>44531</v>
      </c>
      <c r="AA108" s="103" t="s">
        <v>2282</v>
      </c>
      <c r="AB108" s="103" t="s">
        <v>2283</v>
      </c>
      <c r="AC108" s="458"/>
      <c r="AD108" s="458" t="s">
        <v>2284</v>
      </c>
      <c r="AE108" s="458" t="s">
        <v>2285</v>
      </c>
      <c r="AF108" s="458"/>
      <c r="AG108" s="459"/>
    </row>
    <row r="109" spans="1:33" ht="15.75" thickBot="1">
      <c r="A109" s="395"/>
      <c r="B109" s="398"/>
      <c r="C109" s="395"/>
      <c r="D109" s="410"/>
      <c r="E109" s="415"/>
      <c r="F109" s="398"/>
      <c r="G109" s="411"/>
      <c r="H109" s="398"/>
      <c r="I109" s="398"/>
      <c r="J109" s="398"/>
      <c r="K109" s="390"/>
      <c r="L109" s="390"/>
      <c r="M109" s="390"/>
      <c r="N109" s="390"/>
      <c r="O109" s="390"/>
      <c r="P109" s="395"/>
      <c r="Q109" s="456"/>
      <c r="R109" s="105" t="s">
        <v>2301</v>
      </c>
      <c r="S109" s="389"/>
      <c r="T109" s="389"/>
      <c r="U109" s="389"/>
      <c r="V109" s="389"/>
      <c r="W109" s="457"/>
      <c r="X109" s="457"/>
      <c r="Y109" s="457"/>
      <c r="Z109" s="457"/>
      <c r="AA109" s="103" t="s">
        <v>2286</v>
      </c>
      <c r="AB109" s="103" t="s">
        <v>2287</v>
      </c>
      <c r="AC109" s="458"/>
      <c r="AD109" s="458"/>
      <c r="AE109" s="458"/>
      <c r="AF109" s="458"/>
      <c r="AG109" s="459"/>
    </row>
    <row r="110" spans="1:33" ht="15.75" thickBot="1">
      <c r="A110" s="395" t="s">
        <v>2277</v>
      </c>
      <c r="B110" s="398" t="s">
        <v>1809</v>
      </c>
      <c r="C110" s="395" t="s">
        <v>474</v>
      </c>
      <c r="D110" s="410" t="s">
        <v>773</v>
      </c>
      <c r="E110" s="415" t="str">
        <f>VLOOKUP(D110,OfertaPlazas!B:D,3,FALSE)</f>
        <v>Paris</v>
      </c>
      <c r="F110" s="398" t="s">
        <v>774</v>
      </c>
      <c r="G110" s="411">
        <v>945908014</v>
      </c>
      <c r="H110" s="398" t="s">
        <v>76</v>
      </c>
      <c r="I110" s="398" t="s">
        <v>76</v>
      </c>
      <c r="J110" s="398" t="s">
        <v>76</v>
      </c>
      <c r="K110" s="390" t="s">
        <v>75</v>
      </c>
      <c r="L110" s="390" t="s">
        <v>75</v>
      </c>
      <c r="M110" s="390" t="s">
        <v>76</v>
      </c>
      <c r="N110" s="390" t="s">
        <v>75</v>
      </c>
      <c r="O110" s="390" t="s">
        <v>76</v>
      </c>
      <c r="P110" s="395" t="s">
        <v>2291</v>
      </c>
      <c r="Q110" s="456" t="s">
        <v>75</v>
      </c>
      <c r="R110" s="105" t="s">
        <v>2281</v>
      </c>
      <c r="S110" s="389" t="s">
        <v>2293</v>
      </c>
      <c r="T110" s="389" t="s">
        <v>2293</v>
      </c>
      <c r="U110" s="389">
        <v>1</v>
      </c>
      <c r="V110" s="389">
        <v>1</v>
      </c>
      <c r="W110" s="457">
        <v>44331</v>
      </c>
      <c r="X110" s="457">
        <v>44515</v>
      </c>
      <c r="Y110" s="457">
        <v>44348</v>
      </c>
      <c r="Z110" s="457">
        <v>44531</v>
      </c>
      <c r="AA110" s="103" t="s">
        <v>2282</v>
      </c>
      <c r="AB110" s="103" t="s">
        <v>2283</v>
      </c>
      <c r="AC110" s="458"/>
      <c r="AD110" s="458" t="s">
        <v>2284</v>
      </c>
      <c r="AE110" s="458" t="s">
        <v>2285</v>
      </c>
      <c r="AF110" s="424"/>
      <c r="AG110" s="459" t="s">
        <v>2383</v>
      </c>
    </row>
    <row r="111" spans="1:33" ht="15.75" thickBot="1">
      <c r="A111" s="395"/>
      <c r="B111" s="398"/>
      <c r="C111" s="395"/>
      <c r="D111" s="410"/>
      <c r="E111" s="415"/>
      <c r="F111" s="398"/>
      <c r="G111" s="411"/>
      <c r="H111" s="398"/>
      <c r="I111" s="398"/>
      <c r="J111" s="398"/>
      <c r="K111" s="390"/>
      <c r="L111" s="390"/>
      <c r="M111" s="390"/>
      <c r="N111" s="390"/>
      <c r="O111" s="390"/>
      <c r="P111" s="395"/>
      <c r="Q111" s="456"/>
      <c r="R111" s="105" t="s">
        <v>2301</v>
      </c>
      <c r="S111" s="389"/>
      <c r="T111" s="389"/>
      <c r="U111" s="389"/>
      <c r="V111" s="389"/>
      <c r="W111" s="457"/>
      <c r="X111" s="457"/>
      <c r="Y111" s="457"/>
      <c r="Z111" s="457"/>
      <c r="AA111" s="103" t="s">
        <v>2286</v>
      </c>
      <c r="AB111" s="103" t="s">
        <v>2287</v>
      </c>
      <c r="AC111" s="458"/>
      <c r="AD111" s="458"/>
      <c r="AE111" s="458"/>
      <c r="AF111" s="424"/>
      <c r="AG111" s="459"/>
    </row>
    <row r="112" spans="1:33" ht="15.75" thickBot="1">
      <c r="A112" s="395"/>
      <c r="B112" s="398"/>
      <c r="C112" s="395"/>
      <c r="D112" s="410"/>
      <c r="E112" s="415"/>
      <c r="F112" s="398"/>
      <c r="G112" s="411"/>
      <c r="H112" s="398"/>
      <c r="I112" s="398"/>
      <c r="J112" s="398"/>
      <c r="K112" s="390"/>
      <c r="L112" s="390"/>
      <c r="M112" s="390"/>
      <c r="N112" s="390"/>
      <c r="O112" s="390"/>
      <c r="P112" s="395"/>
      <c r="Q112" s="456"/>
      <c r="R112" s="105" t="s">
        <v>2294</v>
      </c>
      <c r="S112" s="389"/>
      <c r="T112" s="389"/>
      <c r="U112" s="389"/>
      <c r="V112" s="389"/>
      <c r="W112" s="457"/>
      <c r="X112" s="457"/>
      <c r="Y112" s="457"/>
      <c r="Z112" s="457"/>
      <c r="AA112" s="103"/>
      <c r="AB112" s="103"/>
      <c r="AC112" s="458"/>
      <c r="AD112" s="458"/>
      <c r="AE112" s="458"/>
      <c r="AF112" s="424"/>
      <c r="AG112" s="459"/>
    </row>
    <row r="113" spans="1:33" ht="15.75" thickBot="1">
      <c r="A113" s="395" t="s">
        <v>2277</v>
      </c>
      <c r="B113" s="398" t="s">
        <v>1809</v>
      </c>
      <c r="C113" s="395" t="s">
        <v>816</v>
      </c>
      <c r="D113" s="409" t="s">
        <v>814</v>
      </c>
      <c r="E113" s="414" t="str">
        <f>VLOOKUP(D113,OfertaPlazas!B:D,3,FALSE)</f>
        <v>Tarbes</v>
      </c>
      <c r="F113" s="398" t="s">
        <v>2384</v>
      </c>
      <c r="G113" s="411">
        <v>999887156</v>
      </c>
      <c r="H113" s="398" t="s">
        <v>76</v>
      </c>
      <c r="I113" s="398" t="s">
        <v>76</v>
      </c>
      <c r="J113" s="398" t="s">
        <v>76</v>
      </c>
      <c r="K113" s="390" t="s">
        <v>75</v>
      </c>
      <c r="L113" s="390" t="s">
        <v>75</v>
      </c>
      <c r="M113" s="390" t="s">
        <v>76</v>
      </c>
      <c r="N113" s="390" t="s">
        <v>75</v>
      </c>
      <c r="O113" s="390" t="s">
        <v>76</v>
      </c>
      <c r="P113" s="395" t="s">
        <v>2385</v>
      </c>
      <c r="Q113" s="456" t="s">
        <v>75</v>
      </c>
      <c r="R113" s="421" t="s">
        <v>2281</v>
      </c>
      <c r="S113" s="389" t="s">
        <v>2297</v>
      </c>
      <c r="T113" s="389" t="s">
        <v>2297</v>
      </c>
      <c r="U113" s="389">
        <v>1</v>
      </c>
      <c r="V113" s="389">
        <v>1</v>
      </c>
      <c r="W113" s="457">
        <v>44331</v>
      </c>
      <c r="X113" s="457">
        <v>44515</v>
      </c>
      <c r="Y113" s="457">
        <v>44348</v>
      </c>
      <c r="Z113" s="457">
        <v>44531</v>
      </c>
      <c r="AA113" s="103" t="s">
        <v>2282</v>
      </c>
      <c r="AB113" s="103" t="s">
        <v>2283</v>
      </c>
      <c r="AC113" s="458"/>
      <c r="AD113" s="458" t="s">
        <v>2284</v>
      </c>
      <c r="AE113" s="458" t="s">
        <v>2285</v>
      </c>
      <c r="AF113" s="458"/>
      <c r="AG113" s="459"/>
    </row>
    <row r="114" spans="1:33" ht="15.75" thickBot="1">
      <c r="A114" s="395"/>
      <c r="B114" s="398"/>
      <c r="C114" s="395"/>
      <c r="D114" s="410"/>
      <c r="E114" s="415"/>
      <c r="F114" s="398"/>
      <c r="G114" s="411"/>
      <c r="H114" s="398"/>
      <c r="I114" s="398"/>
      <c r="J114" s="398"/>
      <c r="K114" s="390"/>
      <c r="L114" s="390"/>
      <c r="M114" s="390"/>
      <c r="N114" s="390"/>
      <c r="O114" s="390"/>
      <c r="P114" s="395"/>
      <c r="Q114" s="456"/>
      <c r="R114" s="421"/>
      <c r="S114" s="389"/>
      <c r="T114" s="389"/>
      <c r="U114" s="389"/>
      <c r="V114" s="389"/>
      <c r="W114" s="457"/>
      <c r="X114" s="457"/>
      <c r="Y114" s="457"/>
      <c r="Z114" s="457"/>
      <c r="AA114" s="103" t="s">
        <v>2286</v>
      </c>
      <c r="AB114" s="103" t="s">
        <v>2287</v>
      </c>
      <c r="AC114" s="458"/>
      <c r="AD114" s="458"/>
      <c r="AE114" s="458"/>
      <c r="AF114" s="458"/>
      <c r="AG114" s="459"/>
    </row>
    <row r="115" spans="1:33" ht="15.75" thickBot="1">
      <c r="A115" s="395" t="s">
        <v>2277</v>
      </c>
      <c r="B115" s="398" t="s">
        <v>1809</v>
      </c>
      <c r="C115" s="395" t="s">
        <v>824</v>
      </c>
      <c r="D115" s="409" t="s">
        <v>837</v>
      </c>
      <c r="E115" s="414" t="str">
        <f>VLOOKUP(D115,OfertaPlazas!B:D,3,FALSE)</f>
        <v>Toulouse</v>
      </c>
      <c r="F115" s="398" t="s">
        <v>2386</v>
      </c>
      <c r="G115" s="411">
        <v>999892491</v>
      </c>
      <c r="H115" s="398" t="s">
        <v>76</v>
      </c>
      <c r="I115" s="398" t="s">
        <v>76</v>
      </c>
      <c r="J115" s="398" t="s">
        <v>76</v>
      </c>
      <c r="K115" s="390" t="s">
        <v>75</v>
      </c>
      <c r="L115" s="390" t="s">
        <v>75</v>
      </c>
      <c r="M115" s="390" t="s">
        <v>76</v>
      </c>
      <c r="N115" s="390" t="s">
        <v>75</v>
      </c>
      <c r="O115" s="390" t="s">
        <v>76</v>
      </c>
      <c r="P115" s="395" t="s">
        <v>2291</v>
      </c>
      <c r="Q115" s="456" t="s">
        <v>75</v>
      </c>
      <c r="R115" s="421" t="s">
        <v>2281</v>
      </c>
      <c r="S115" s="389" t="s">
        <v>2291</v>
      </c>
      <c r="T115" s="389" t="s">
        <v>2291</v>
      </c>
      <c r="U115" s="389">
        <v>1</v>
      </c>
      <c r="V115" s="389">
        <v>1</v>
      </c>
      <c r="W115" s="457">
        <v>44331</v>
      </c>
      <c r="X115" s="457">
        <v>44515</v>
      </c>
      <c r="Y115" s="457">
        <v>44348</v>
      </c>
      <c r="Z115" s="457">
        <v>44531</v>
      </c>
      <c r="AA115" s="103" t="s">
        <v>2282</v>
      </c>
      <c r="AB115" s="103" t="s">
        <v>2283</v>
      </c>
      <c r="AC115" s="458"/>
      <c r="AD115" s="458" t="s">
        <v>2284</v>
      </c>
      <c r="AE115" s="458" t="s">
        <v>2285</v>
      </c>
      <c r="AF115" s="458"/>
      <c r="AG115" s="459" t="s">
        <v>1815</v>
      </c>
    </row>
    <row r="116" spans="1:33" ht="15.75" thickBot="1">
      <c r="A116" s="395"/>
      <c r="B116" s="398"/>
      <c r="C116" s="395"/>
      <c r="D116" s="410"/>
      <c r="E116" s="415"/>
      <c r="F116" s="398"/>
      <c r="G116" s="411"/>
      <c r="H116" s="398"/>
      <c r="I116" s="398"/>
      <c r="J116" s="398"/>
      <c r="K116" s="390"/>
      <c r="L116" s="390"/>
      <c r="M116" s="390"/>
      <c r="N116" s="390"/>
      <c r="O116" s="390"/>
      <c r="P116" s="395"/>
      <c r="Q116" s="456"/>
      <c r="R116" s="421"/>
      <c r="S116" s="389"/>
      <c r="T116" s="389"/>
      <c r="U116" s="389"/>
      <c r="V116" s="389"/>
      <c r="W116" s="457"/>
      <c r="X116" s="457"/>
      <c r="Y116" s="457"/>
      <c r="Z116" s="457"/>
      <c r="AA116" s="103" t="s">
        <v>2286</v>
      </c>
      <c r="AB116" s="103" t="s">
        <v>2287</v>
      </c>
      <c r="AC116" s="458"/>
      <c r="AD116" s="458"/>
      <c r="AE116" s="458"/>
      <c r="AF116" s="458"/>
      <c r="AG116" s="459"/>
    </row>
    <row r="117" spans="1:33" ht="15.75" thickBot="1">
      <c r="A117" s="395" t="s">
        <v>2277</v>
      </c>
      <c r="B117" s="398" t="s">
        <v>1809</v>
      </c>
      <c r="C117" s="395" t="s">
        <v>824</v>
      </c>
      <c r="D117" s="409" t="s">
        <v>2387</v>
      </c>
      <c r="E117" s="414" t="str">
        <f>VLOOKUP(D117,OfertaPlazas!B:D,3,FALSE)</f>
        <v>Toulouse</v>
      </c>
      <c r="F117" s="398" t="s">
        <v>2388</v>
      </c>
      <c r="G117" s="411">
        <v>949484210</v>
      </c>
      <c r="H117" s="398" t="s">
        <v>76</v>
      </c>
      <c r="I117" s="398" t="s">
        <v>76</v>
      </c>
      <c r="J117" s="398" t="s">
        <v>76</v>
      </c>
      <c r="K117" s="390" t="s">
        <v>75</v>
      </c>
      <c r="L117" s="390" t="s">
        <v>75</v>
      </c>
      <c r="M117" s="390" t="s">
        <v>76</v>
      </c>
      <c r="N117" s="390" t="s">
        <v>75</v>
      </c>
      <c r="O117" s="390" t="s">
        <v>76</v>
      </c>
      <c r="P117" s="395" t="s">
        <v>2297</v>
      </c>
      <c r="Q117" s="456" t="s">
        <v>75</v>
      </c>
      <c r="R117" s="421" t="s">
        <v>2281</v>
      </c>
      <c r="S117" s="389" t="s">
        <v>2297</v>
      </c>
      <c r="T117" s="389" t="s">
        <v>2297</v>
      </c>
      <c r="U117" s="389">
        <v>1</v>
      </c>
      <c r="V117" s="389">
        <v>1</v>
      </c>
      <c r="W117" s="457">
        <v>44331</v>
      </c>
      <c r="X117" s="457">
        <v>44515</v>
      </c>
      <c r="Y117" s="457">
        <v>44348</v>
      </c>
      <c r="Z117" s="457">
        <v>44531</v>
      </c>
      <c r="AA117" s="103" t="s">
        <v>2282</v>
      </c>
      <c r="AB117" s="103" t="s">
        <v>2283</v>
      </c>
      <c r="AC117" s="458"/>
      <c r="AD117" s="458" t="s">
        <v>2284</v>
      </c>
      <c r="AE117" s="458" t="s">
        <v>2285</v>
      </c>
      <c r="AF117" s="458"/>
      <c r="AG117" s="459" t="s">
        <v>1815</v>
      </c>
    </row>
    <row r="118" spans="1:33" ht="15.75" thickBot="1">
      <c r="A118" s="395"/>
      <c r="B118" s="398"/>
      <c r="C118" s="395"/>
      <c r="D118" s="410"/>
      <c r="E118" s="415"/>
      <c r="F118" s="398"/>
      <c r="G118" s="411"/>
      <c r="H118" s="398"/>
      <c r="I118" s="398"/>
      <c r="J118" s="398"/>
      <c r="K118" s="390"/>
      <c r="L118" s="390"/>
      <c r="M118" s="390"/>
      <c r="N118" s="390"/>
      <c r="O118" s="390"/>
      <c r="P118" s="395"/>
      <c r="Q118" s="456"/>
      <c r="R118" s="421"/>
      <c r="S118" s="389"/>
      <c r="T118" s="389"/>
      <c r="U118" s="389"/>
      <c r="V118" s="389"/>
      <c r="W118" s="457"/>
      <c r="X118" s="457"/>
      <c r="Y118" s="457"/>
      <c r="Z118" s="457"/>
      <c r="AA118" s="103" t="s">
        <v>2286</v>
      </c>
      <c r="AB118" s="103" t="s">
        <v>2287</v>
      </c>
      <c r="AC118" s="458"/>
      <c r="AD118" s="458"/>
      <c r="AE118" s="458"/>
      <c r="AF118" s="458"/>
      <c r="AG118" s="459"/>
    </row>
    <row r="119" spans="1:33" ht="15.75" thickBot="1">
      <c r="A119" s="395" t="s">
        <v>2277</v>
      </c>
      <c r="B119" s="398" t="s">
        <v>1809</v>
      </c>
      <c r="C119" s="395" t="s">
        <v>824</v>
      </c>
      <c r="D119" s="409" t="s">
        <v>822</v>
      </c>
      <c r="E119" s="414" t="str">
        <f>VLOOKUP(D119,OfertaPlazas!B:D,3,FALSE)</f>
        <v>Toulouse</v>
      </c>
      <c r="F119" s="398" t="s">
        <v>823</v>
      </c>
      <c r="G119" s="411">
        <v>999869405</v>
      </c>
      <c r="H119" s="398" t="s">
        <v>76</v>
      </c>
      <c r="I119" s="398" t="s">
        <v>76</v>
      </c>
      <c r="J119" s="398" t="s">
        <v>76</v>
      </c>
      <c r="K119" s="390" t="s">
        <v>75</v>
      </c>
      <c r="L119" s="390" t="s">
        <v>75</v>
      </c>
      <c r="M119" s="390" t="s">
        <v>76</v>
      </c>
      <c r="N119" s="390" t="s">
        <v>75</v>
      </c>
      <c r="O119" s="390" t="s">
        <v>76</v>
      </c>
      <c r="P119" s="395" t="s">
        <v>2291</v>
      </c>
      <c r="Q119" s="456" t="s">
        <v>75</v>
      </c>
      <c r="R119" s="105" t="s">
        <v>2281</v>
      </c>
      <c r="S119" s="389" t="s">
        <v>2291</v>
      </c>
      <c r="T119" s="389" t="s">
        <v>2291</v>
      </c>
      <c r="U119" s="389">
        <v>1</v>
      </c>
      <c r="V119" s="389">
        <v>1</v>
      </c>
      <c r="W119" s="457">
        <v>44331</v>
      </c>
      <c r="X119" s="457">
        <v>44515</v>
      </c>
      <c r="Y119" s="457">
        <v>44348</v>
      </c>
      <c r="Z119" s="457">
        <v>44531</v>
      </c>
      <c r="AA119" s="103" t="s">
        <v>2282</v>
      </c>
      <c r="AB119" s="103" t="s">
        <v>2283</v>
      </c>
      <c r="AC119" s="458"/>
      <c r="AD119" s="458" t="s">
        <v>2284</v>
      </c>
      <c r="AE119" s="458" t="s">
        <v>2285</v>
      </c>
      <c r="AF119" s="458"/>
      <c r="AG119" s="459"/>
    </row>
    <row r="120" spans="1:33" ht="15.75" thickBot="1">
      <c r="A120" s="395"/>
      <c r="B120" s="398"/>
      <c r="C120" s="395"/>
      <c r="D120" s="410"/>
      <c r="E120" s="415"/>
      <c r="F120" s="398"/>
      <c r="G120" s="411"/>
      <c r="H120" s="398"/>
      <c r="I120" s="398"/>
      <c r="J120" s="398"/>
      <c r="K120" s="390"/>
      <c r="L120" s="390"/>
      <c r="M120" s="390"/>
      <c r="N120" s="390"/>
      <c r="O120" s="390"/>
      <c r="P120" s="395"/>
      <c r="Q120" s="456"/>
      <c r="R120" s="105" t="s">
        <v>2303</v>
      </c>
      <c r="S120" s="389"/>
      <c r="T120" s="389"/>
      <c r="U120" s="389"/>
      <c r="V120" s="389"/>
      <c r="W120" s="457"/>
      <c r="X120" s="457"/>
      <c r="Y120" s="457"/>
      <c r="Z120" s="457"/>
      <c r="AA120" s="103" t="s">
        <v>2286</v>
      </c>
      <c r="AB120" s="103" t="s">
        <v>2287</v>
      </c>
      <c r="AC120" s="458"/>
      <c r="AD120" s="458"/>
      <c r="AE120" s="458"/>
      <c r="AF120" s="458"/>
      <c r="AG120" s="459"/>
    </row>
    <row r="121" spans="1:33" ht="15.75" thickBot="1">
      <c r="A121" s="395" t="s">
        <v>2277</v>
      </c>
      <c r="B121" s="398" t="s">
        <v>1809</v>
      </c>
      <c r="C121" s="395" t="s">
        <v>824</v>
      </c>
      <c r="D121" s="409" t="s">
        <v>852</v>
      </c>
      <c r="E121" s="414" t="str">
        <f>VLOOKUP(D121,OfertaPlazas!B:D,3,FALSE)</f>
        <v>Toulouse</v>
      </c>
      <c r="F121" s="398" t="s">
        <v>2389</v>
      </c>
      <c r="G121" s="411">
        <v>999836037</v>
      </c>
      <c r="H121" s="398" t="s">
        <v>76</v>
      </c>
      <c r="I121" s="398" t="s">
        <v>76</v>
      </c>
      <c r="J121" s="398" t="s">
        <v>76</v>
      </c>
      <c r="K121" s="390" t="s">
        <v>75</v>
      </c>
      <c r="L121" s="390" t="s">
        <v>75</v>
      </c>
      <c r="M121" s="390" t="s">
        <v>76</v>
      </c>
      <c r="N121" s="390" t="s">
        <v>75</v>
      </c>
      <c r="O121" s="390" t="s">
        <v>76</v>
      </c>
      <c r="P121" s="395" t="s">
        <v>2280</v>
      </c>
      <c r="Q121" s="456" t="s">
        <v>75</v>
      </c>
      <c r="R121" s="421" t="s">
        <v>2281</v>
      </c>
      <c r="S121" s="389" t="s">
        <v>2280</v>
      </c>
      <c r="T121" s="389" t="s">
        <v>2280</v>
      </c>
      <c r="U121" s="389">
        <v>1</v>
      </c>
      <c r="V121" s="389">
        <v>1</v>
      </c>
      <c r="W121" s="457">
        <v>44331</v>
      </c>
      <c r="X121" s="457">
        <v>44515</v>
      </c>
      <c r="Y121" s="457">
        <v>44348</v>
      </c>
      <c r="Z121" s="457">
        <v>44531</v>
      </c>
      <c r="AA121" s="103" t="s">
        <v>2282</v>
      </c>
      <c r="AB121" s="103" t="s">
        <v>2283</v>
      </c>
      <c r="AC121" s="458"/>
      <c r="AD121" s="458" t="s">
        <v>2284</v>
      </c>
      <c r="AE121" s="458" t="s">
        <v>2285</v>
      </c>
      <c r="AF121" s="458"/>
      <c r="AG121" s="459"/>
    </row>
    <row r="122" spans="1:33" ht="15.75" thickBot="1">
      <c r="A122" s="395"/>
      <c r="B122" s="398"/>
      <c r="C122" s="395"/>
      <c r="D122" s="410"/>
      <c r="E122" s="415"/>
      <c r="F122" s="398"/>
      <c r="G122" s="411"/>
      <c r="H122" s="398"/>
      <c r="I122" s="398"/>
      <c r="J122" s="398"/>
      <c r="K122" s="390"/>
      <c r="L122" s="390"/>
      <c r="M122" s="390"/>
      <c r="N122" s="390"/>
      <c r="O122" s="390"/>
      <c r="P122" s="395"/>
      <c r="Q122" s="456"/>
      <c r="R122" s="421"/>
      <c r="S122" s="389"/>
      <c r="T122" s="389"/>
      <c r="U122" s="389"/>
      <c r="V122" s="389"/>
      <c r="W122" s="457"/>
      <c r="X122" s="457"/>
      <c r="Y122" s="457"/>
      <c r="Z122" s="457"/>
      <c r="AA122" s="103" t="s">
        <v>2286</v>
      </c>
      <c r="AB122" s="103" t="s">
        <v>2287</v>
      </c>
      <c r="AC122" s="458"/>
      <c r="AD122" s="458"/>
      <c r="AE122" s="458"/>
      <c r="AF122" s="458"/>
      <c r="AG122" s="459"/>
    </row>
    <row r="123" spans="1:33" ht="15.75" thickBot="1">
      <c r="A123" s="395" t="s">
        <v>2277</v>
      </c>
      <c r="B123" s="398" t="s">
        <v>1809</v>
      </c>
      <c r="C123" s="395" t="s">
        <v>866</v>
      </c>
      <c r="D123" s="416" t="s">
        <v>2390</v>
      </c>
      <c r="E123" s="414" t="e">
        <f>VLOOKUP(D123,OfertaPlazas!B:D,3,FALSE)</f>
        <v>#N/A</v>
      </c>
      <c r="F123" s="398" t="s">
        <v>2391</v>
      </c>
      <c r="G123" s="411">
        <v>999884537</v>
      </c>
      <c r="H123" s="398" t="s">
        <v>76</v>
      </c>
      <c r="I123" s="398" t="s">
        <v>76</v>
      </c>
      <c r="J123" s="398" t="s">
        <v>76</v>
      </c>
      <c r="K123" s="390" t="s">
        <v>76</v>
      </c>
      <c r="L123" s="390" t="s">
        <v>75</v>
      </c>
      <c r="M123" s="390" t="s">
        <v>76</v>
      </c>
      <c r="N123" s="390" t="s">
        <v>75</v>
      </c>
      <c r="O123" s="390" t="s">
        <v>76</v>
      </c>
      <c r="P123" s="395" t="s">
        <v>2392</v>
      </c>
      <c r="Q123" s="456" t="s">
        <v>75</v>
      </c>
      <c r="R123" s="105" t="s">
        <v>2281</v>
      </c>
      <c r="S123" s="389" t="s">
        <v>2291</v>
      </c>
      <c r="T123" s="389" t="s">
        <v>2291</v>
      </c>
      <c r="U123" s="389">
        <v>1</v>
      </c>
      <c r="V123" s="389">
        <v>1</v>
      </c>
      <c r="W123" s="457">
        <v>44331</v>
      </c>
      <c r="X123" s="457">
        <v>44515</v>
      </c>
      <c r="Y123" s="457">
        <v>44348</v>
      </c>
      <c r="Z123" s="457">
        <v>44531</v>
      </c>
      <c r="AA123" s="103" t="s">
        <v>2282</v>
      </c>
      <c r="AB123" s="103" t="s">
        <v>2283</v>
      </c>
      <c r="AC123" s="458"/>
      <c r="AD123" s="458" t="s">
        <v>2284</v>
      </c>
      <c r="AE123" s="458" t="s">
        <v>2285</v>
      </c>
      <c r="AF123" s="458"/>
      <c r="AG123" s="459"/>
    </row>
    <row r="124" spans="1:33" ht="15.75" thickBot="1">
      <c r="A124" s="395"/>
      <c r="B124" s="398"/>
      <c r="C124" s="395"/>
      <c r="D124" s="417"/>
      <c r="E124" s="415"/>
      <c r="F124" s="398"/>
      <c r="G124" s="411"/>
      <c r="H124" s="398"/>
      <c r="I124" s="398"/>
      <c r="J124" s="398"/>
      <c r="K124" s="390"/>
      <c r="L124" s="390"/>
      <c r="M124" s="390"/>
      <c r="N124" s="390"/>
      <c r="O124" s="390"/>
      <c r="P124" s="395"/>
      <c r="Q124" s="456"/>
      <c r="R124" s="105" t="s">
        <v>2303</v>
      </c>
      <c r="S124" s="389"/>
      <c r="T124" s="389"/>
      <c r="U124" s="389"/>
      <c r="V124" s="389"/>
      <c r="W124" s="457"/>
      <c r="X124" s="457"/>
      <c r="Y124" s="457"/>
      <c r="Z124" s="457"/>
      <c r="AA124" s="103" t="s">
        <v>2286</v>
      </c>
      <c r="AB124" s="103" t="s">
        <v>2287</v>
      </c>
      <c r="AC124" s="458"/>
      <c r="AD124" s="458"/>
      <c r="AE124" s="458"/>
      <c r="AF124" s="458"/>
      <c r="AG124" s="459"/>
    </row>
    <row r="125" spans="1:33" ht="15.75" thickBot="1">
      <c r="A125" s="395" t="s">
        <v>2277</v>
      </c>
      <c r="B125" s="398" t="s">
        <v>1809</v>
      </c>
      <c r="C125" s="395" t="s">
        <v>2393</v>
      </c>
      <c r="D125" s="409" t="s">
        <v>2394</v>
      </c>
      <c r="E125" s="414" t="e">
        <f>VLOOKUP(D125,OfertaPlazas!B:D,3,FALSE)</f>
        <v>#N/A</v>
      </c>
      <c r="F125" s="398" t="s">
        <v>2394</v>
      </c>
      <c r="G125" s="411"/>
      <c r="H125" s="398" t="s">
        <v>76</v>
      </c>
      <c r="I125" s="398" t="s">
        <v>76</v>
      </c>
      <c r="J125" s="398" t="s">
        <v>76</v>
      </c>
      <c r="K125" s="390" t="s">
        <v>75</v>
      </c>
      <c r="L125" s="390" t="s">
        <v>75</v>
      </c>
      <c r="M125" s="390" t="s">
        <v>76</v>
      </c>
      <c r="N125" s="390" t="s">
        <v>75</v>
      </c>
      <c r="O125" s="390" t="s">
        <v>76</v>
      </c>
      <c r="P125" s="395" t="s">
        <v>2291</v>
      </c>
      <c r="Q125" s="418" t="s">
        <v>2395</v>
      </c>
      <c r="R125" s="105" t="s">
        <v>2281</v>
      </c>
      <c r="S125" s="389" t="s">
        <v>2291</v>
      </c>
      <c r="T125" s="389" t="s">
        <v>2291</v>
      </c>
      <c r="U125" s="389">
        <v>1</v>
      </c>
      <c r="V125" s="389">
        <v>1</v>
      </c>
      <c r="W125" s="457">
        <v>44331</v>
      </c>
      <c r="X125" s="457">
        <v>44515</v>
      </c>
      <c r="Y125" s="457">
        <v>44348</v>
      </c>
      <c r="Z125" s="457">
        <v>44531</v>
      </c>
      <c r="AA125" s="111" t="s">
        <v>2282</v>
      </c>
      <c r="AB125" s="112" t="s">
        <v>2283</v>
      </c>
      <c r="AC125" s="435"/>
      <c r="AD125" s="458" t="s">
        <v>2284</v>
      </c>
      <c r="AE125" s="436" t="s">
        <v>2285</v>
      </c>
      <c r="AF125" s="458"/>
      <c r="AG125" s="432" t="s">
        <v>2396</v>
      </c>
    </row>
    <row r="126" spans="1:33" ht="15.75" thickBot="1">
      <c r="A126" s="395"/>
      <c r="B126" s="398"/>
      <c r="C126" s="395"/>
      <c r="D126" s="410"/>
      <c r="E126" s="415"/>
      <c r="F126" s="398"/>
      <c r="G126" s="411"/>
      <c r="H126" s="398"/>
      <c r="I126" s="398"/>
      <c r="J126" s="398"/>
      <c r="K126" s="390"/>
      <c r="L126" s="390"/>
      <c r="M126" s="390"/>
      <c r="N126" s="390"/>
      <c r="O126" s="390"/>
      <c r="P126" s="395"/>
      <c r="Q126" s="418"/>
      <c r="R126" s="105" t="s">
        <v>2294</v>
      </c>
      <c r="S126" s="389"/>
      <c r="T126" s="389"/>
      <c r="U126" s="389"/>
      <c r="V126" s="389"/>
      <c r="W126" s="457"/>
      <c r="X126" s="457"/>
      <c r="Y126" s="457"/>
      <c r="Z126" s="457"/>
      <c r="AA126" s="111" t="s">
        <v>2286</v>
      </c>
      <c r="AB126" s="112" t="s">
        <v>2397</v>
      </c>
      <c r="AC126" s="435"/>
      <c r="AD126" s="458"/>
      <c r="AE126" s="436"/>
      <c r="AF126" s="458"/>
      <c r="AG126" s="432"/>
    </row>
    <row r="127" spans="1:33" ht="15.75" thickBot="1">
      <c r="A127" s="395" t="s">
        <v>2277</v>
      </c>
      <c r="B127" s="398" t="s">
        <v>1809</v>
      </c>
      <c r="C127" s="395" t="s">
        <v>474</v>
      </c>
      <c r="D127" s="412"/>
      <c r="E127" s="422"/>
      <c r="F127" s="419" t="s">
        <v>1808</v>
      </c>
      <c r="G127" s="411"/>
      <c r="H127" s="398" t="s">
        <v>76</v>
      </c>
      <c r="I127" s="398" t="s">
        <v>76</v>
      </c>
      <c r="J127" s="398" t="s">
        <v>76</v>
      </c>
      <c r="K127" s="390" t="s">
        <v>75</v>
      </c>
      <c r="L127" s="390" t="s">
        <v>75</v>
      </c>
      <c r="M127" s="390" t="s">
        <v>75</v>
      </c>
      <c r="N127" s="390" t="s">
        <v>75</v>
      </c>
      <c r="O127" s="390" t="s">
        <v>75</v>
      </c>
      <c r="P127" s="395" t="s">
        <v>2291</v>
      </c>
      <c r="Q127" s="418" t="s">
        <v>2395</v>
      </c>
      <c r="R127" s="105" t="s">
        <v>2303</v>
      </c>
      <c r="S127" s="389" t="s">
        <v>2291</v>
      </c>
      <c r="T127" s="389" t="s">
        <v>2291</v>
      </c>
      <c r="U127" s="389">
        <v>1</v>
      </c>
      <c r="V127" s="389">
        <v>1</v>
      </c>
      <c r="W127" s="457">
        <v>44331</v>
      </c>
      <c r="X127" s="457">
        <v>44515</v>
      </c>
      <c r="Y127" s="457">
        <v>44348</v>
      </c>
      <c r="Z127" s="457">
        <v>44531</v>
      </c>
      <c r="AA127" s="113" t="s">
        <v>2282</v>
      </c>
      <c r="AB127" s="103" t="s">
        <v>2283</v>
      </c>
      <c r="AC127" s="458"/>
      <c r="AD127" s="458" t="s">
        <v>2284</v>
      </c>
      <c r="AE127" s="388" t="s">
        <v>2285</v>
      </c>
      <c r="AF127" s="458"/>
      <c r="AG127" s="459" t="s">
        <v>2398</v>
      </c>
    </row>
    <row r="128" spans="1:33" ht="15.75" thickBot="1">
      <c r="A128" s="395"/>
      <c r="B128" s="398"/>
      <c r="C128" s="395"/>
      <c r="D128" s="413"/>
      <c r="E128" s="423"/>
      <c r="F128" s="419"/>
      <c r="G128" s="411"/>
      <c r="H128" s="398"/>
      <c r="I128" s="398"/>
      <c r="J128" s="398"/>
      <c r="K128" s="390"/>
      <c r="L128" s="390"/>
      <c r="M128" s="390"/>
      <c r="N128" s="390"/>
      <c r="O128" s="390"/>
      <c r="P128" s="395"/>
      <c r="Q128" s="418"/>
      <c r="R128" s="105" t="s">
        <v>2301</v>
      </c>
      <c r="S128" s="389"/>
      <c r="T128" s="389"/>
      <c r="U128" s="389"/>
      <c r="V128" s="389"/>
      <c r="W128" s="457"/>
      <c r="X128" s="457"/>
      <c r="Y128" s="457"/>
      <c r="Z128" s="457"/>
      <c r="AA128" s="113" t="s">
        <v>2286</v>
      </c>
      <c r="AB128" s="103" t="s">
        <v>2397</v>
      </c>
      <c r="AC128" s="458"/>
      <c r="AD128" s="458"/>
      <c r="AE128" s="388"/>
      <c r="AF128" s="458"/>
      <c r="AG128" s="459"/>
    </row>
    <row r="129" spans="1:33" ht="15.75" thickBot="1">
      <c r="A129" s="395" t="s">
        <v>2277</v>
      </c>
      <c r="B129" s="398" t="s">
        <v>2399</v>
      </c>
      <c r="C129" s="395" t="s">
        <v>881</v>
      </c>
      <c r="D129" s="409" t="s">
        <v>2400</v>
      </c>
      <c r="E129" s="414" t="e">
        <f>VLOOKUP(D129,OfertaPlazas!B:D,3,FALSE)</f>
        <v>#N/A</v>
      </c>
      <c r="F129" s="398" t="s">
        <v>2401</v>
      </c>
      <c r="G129" s="411">
        <v>999585583</v>
      </c>
      <c r="H129" s="398" t="s">
        <v>76</v>
      </c>
      <c r="I129" s="398" t="s">
        <v>76</v>
      </c>
      <c r="J129" s="398" t="s">
        <v>76</v>
      </c>
      <c r="K129" s="390" t="s">
        <v>75</v>
      </c>
      <c r="L129" s="390" t="s">
        <v>75</v>
      </c>
      <c r="M129" s="390" t="s">
        <v>76</v>
      </c>
      <c r="N129" s="390" t="s">
        <v>75</v>
      </c>
      <c r="O129" s="390" t="s">
        <v>76</v>
      </c>
      <c r="P129" s="395" t="s">
        <v>2290</v>
      </c>
      <c r="Q129" s="456" t="s">
        <v>75</v>
      </c>
      <c r="R129" s="458" t="s">
        <v>2301</v>
      </c>
      <c r="S129" s="389" t="s">
        <v>2291</v>
      </c>
      <c r="T129" s="389" t="s">
        <v>2291</v>
      </c>
      <c r="U129" s="389">
        <v>1</v>
      </c>
      <c r="V129" s="389">
        <v>1</v>
      </c>
      <c r="W129" s="457">
        <v>44331</v>
      </c>
      <c r="X129" s="457">
        <v>44515</v>
      </c>
      <c r="Y129" s="457">
        <v>44348</v>
      </c>
      <c r="Z129" s="457">
        <v>44531</v>
      </c>
      <c r="AA129" s="103" t="s">
        <v>2282</v>
      </c>
      <c r="AB129" s="103" t="s">
        <v>2283</v>
      </c>
      <c r="AC129" s="458"/>
      <c r="AD129" s="458" t="s">
        <v>2284</v>
      </c>
      <c r="AE129" s="458" t="s">
        <v>2285</v>
      </c>
      <c r="AF129" s="458"/>
      <c r="AG129" s="459"/>
    </row>
    <row r="130" spans="1:33" ht="15.75" thickBot="1">
      <c r="A130" s="395"/>
      <c r="B130" s="398"/>
      <c r="C130" s="395"/>
      <c r="D130" s="410"/>
      <c r="E130" s="415"/>
      <c r="F130" s="398"/>
      <c r="G130" s="411"/>
      <c r="H130" s="398"/>
      <c r="I130" s="398"/>
      <c r="J130" s="398"/>
      <c r="K130" s="390"/>
      <c r="L130" s="390"/>
      <c r="M130" s="390"/>
      <c r="N130" s="390"/>
      <c r="O130" s="390"/>
      <c r="P130" s="395"/>
      <c r="Q130" s="456"/>
      <c r="R130" s="458"/>
      <c r="S130" s="389"/>
      <c r="T130" s="389"/>
      <c r="U130" s="389"/>
      <c r="V130" s="389"/>
      <c r="W130" s="457"/>
      <c r="X130" s="457"/>
      <c r="Y130" s="457"/>
      <c r="Z130" s="457"/>
      <c r="AA130" s="103" t="s">
        <v>2286</v>
      </c>
      <c r="AB130" s="103" t="s">
        <v>2287</v>
      </c>
      <c r="AC130" s="458"/>
      <c r="AD130" s="458"/>
      <c r="AE130" s="458"/>
      <c r="AF130" s="458"/>
      <c r="AG130" s="459"/>
    </row>
    <row r="131" spans="1:33" ht="15.75" thickBot="1">
      <c r="A131" s="395" t="s">
        <v>2277</v>
      </c>
      <c r="B131" s="398" t="s">
        <v>1811</v>
      </c>
      <c r="C131" s="395" t="s">
        <v>1749</v>
      </c>
      <c r="D131" s="413"/>
      <c r="E131" s="423"/>
      <c r="F131" s="419" t="s">
        <v>1747</v>
      </c>
      <c r="G131" s="411"/>
      <c r="H131" s="398" t="s">
        <v>76</v>
      </c>
      <c r="I131" s="398" t="s">
        <v>76</v>
      </c>
      <c r="J131" s="398" t="s">
        <v>76</v>
      </c>
      <c r="K131" s="390" t="s">
        <v>75</v>
      </c>
      <c r="L131" s="390" t="s">
        <v>75</v>
      </c>
      <c r="M131" s="390" t="s">
        <v>75</v>
      </c>
      <c r="N131" s="390" t="s">
        <v>75</v>
      </c>
      <c r="O131" s="390" t="s">
        <v>75</v>
      </c>
      <c r="P131" s="395" t="s">
        <v>2291</v>
      </c>
      <c r="Q131" s="418" t="s">
        <v>2395</v>
      </c>
      <c r="R131" s="105" t="s">
        <v>2281</v>
      </c>
      <c r="S131" s="389" t="s">
        <v>2291</v>
      </c>
      <c r="T131" s="389" t="s">
        <v>2291</v>
      </c>
      <c r="U131" s="389">
        <v>1</v>
      </c>
      <c r="V131" s="389">
        <v>1</v>
      </c>
      <c r="W131" s="457">
        <v>44331</v>
      </c>
      <c r="X131" s="457">
        <v>44515</v>
      </c>
      <c r="Y131" s="457">
        <v>44348</v>
      </c>
      <c r="Z131" s="457">
        <v>44531</v>
      </c>
      <c r="AA131" s="113" t="s">
        <v>2282</v>
      </c>
      <c r="AB131" s="112" t="s">
        <v>2283</v>
      </c>
      <c r="AC131" s="435"/>
      <c r="AD131" s="458" t="s">
        <v>2284</v>
      </c>
      <c r="AE131" s="388" t="s">
        <v>2285</v>
      </c>
      <c r="AF131" s="458"/>
      <c r="AG131" s="459" t="s">
        <v>2398</v>
      </c>
    </row>
    <row r="132" spans="1:33" ht="15.75" thickBot="1">
      <c r="A132" s="395"/>
      <c r="B132" s="398"/>
      <c r="C132" s="395"/>
      <c r="D132" s="413"/>
      <c r="E132" s="423"/>
      <c r="F132" s="419"/>
      <c r="G132" s="411"/>
      <c r="H132" s="398"/>
      <c r="I132" s="398"/>
      <c r="J132" s="398"/>
      <c r="K132" s="390"/>
      <c r="L132" s="390"/>
      <c r="M132" s="390"/>
      <c r="N132" s="390"/>
      <c r="O132" s="390"/>
      <c r="P132" s="395"/>
      <c r="Q132" s="418"/>
      <c r="R132" s="105" t="s">
        <v>2402</v>
      </c>
      <c r="S132" s="389"/>
      <c r="T132" s="389"/>
      <c r="U132" s="389"/>
      <c r="V132" s="389"/>
      <c r="W132" s="457"/>
      <c r="X132" s="457"/>
      <c r="Y132" s="457"/>
      <c r="Z132" s="457"/>
      <c r="AA132" s="113" t="s">
        <v>2286</v>
      </c>
      <c r="AB132" s="112" t="s">
        <v>2397</v>
      </c>
      <c r="AC132" s="435"/>
      <c r="AD132" s="458"/>
      <c r="AE132" s="388"/>
      <c r="AF132" s="458"/>
      <c r="AG132" s="459"/>
    </row>
    <row r="133" spans="1:33" ht="15.75" thickBot="1">
      <c r="A133" s="395"/>
      <c r="B133" s="398"/>
      <c r="C133" s="395"/>
      <c r="D133" s="413"/>
      <c r="E133" s="423"/>
      <c r="F133" s="419"/>
      <c r="G133" s="411"/>
      <c r="H133" s="398"/>
      <c r="I133" s="398"/>
      <c r="J133" s="398"/>
      <c r="K133" s="390"/>
      <c r="L133" s="390"/>
      <c r="M133" s="390"/>
      <c r="N133" s="390"/>
      <c r="O133" s="390"/>
      <c r="P133" s="395"/>
      <c r="Q133" s="418"/>
      <c r="R133" s="105" t="s">
        <v>2294</v>
      </c>
      <c r="S133" s="389"/>
      <c r="T133" s="389"/>
      <c r="U133" s="389"/>
      <c r="V133" s="389"/>
      <c r="W133" s="457"/>
      <c r="X133" s="457"/>
      <c r="Y133" s="457"/>
      <c r="Z133" s="457"/>
      <c r="AA133" s="113"/>
      <c r="AB133" s="112"/>
      <c r="AC133" s="435"/>
      <c r="AD133" s="458"/>
      <c r="AE133" s="388"/>
      <c r="AF133" s="458"/>
      <c r="AG133" s="459"/>
    </row>
    <row r="134" spans="1:33" ht="15.75" thickBot="1">
      <c r="A134" s="395" t="s">
        <v>2277</v>
      </c>
      <c r="B134" s="398" t="s">
        <v>2403</v>
      </c>
      <c r="C134" s="395" t="s">
        <v>1016</v>
      </c>
      <c r="D134" s="409" t="s">
        <v>2404</v>
      </c>
      <c r="E134" s="414" t="e">
        <f>VLOOKUP(D134,OfertaPlazas!B:D,3,FALSE)</f>
        <v>#N/A</v>
      </c>
      <c r="F134" s="398" t="s">
        <v>1014</v>
      </c>
      <c r="G134" s="411">
        <v>999809071</v>
      </c>
      <c r="H134" s="398" t="s">
        <v>76</v>
      </c>
      <c r="I134" s="398" t="s">
        <v>76</v>
      </c>
      <c r="J134" s="398" t="s">
        <v>76</v>
      </c>
      <c r="K134" s="390" t="s">
        <v>75</v>
      </c>
      <c r="L134" s="390" t="s">
        <v>75</v>
      </c>
      <c r="M134" s="390" t="s">
        <v>76</v>
      </c>
      <c r="N134" s="390" t="s">
        <v>75</v>
      </c>
      <c r="O134" s="390" t="s">
        <v>76</v>
      </c>
      <c r="P134" s="395" t="s">
        <v>2297</v>
      </c>
      <c r="Q134" s="456" t="s">
        <v>75</v>
      </c>
      <c r="R134" s="421" t="s">
        <v>2281</v>
      </c>
      <c r="S134" s="389" t="s">
        <v>2297</v>
      </c>
      <c r="T134" s="389" t="s">
        <v>2297</v>
      </c>
      <c r="U134" s="389">
        <v>1</v>
      </c>
      <c r="V134" s="389">
        <v>1</v>
      </c>
      <c r="W134" s="457">
        <v>44331</v>
      </c>
      <c r="X134" s="457">
        <v>44515</v>
      </c>
      <c r="Y134" s="457">
        <v>44348</v>
      </c>
      <c r="Z134" s="457">
        <v>44531</v>
      </c>
      <c r="AA134" s="103" t="s">
        <v>2282</v>
      </c>
      <c r="AB134" s="103" t="s">
        <v>2283</v>
      </c>
      <c r="AC134" s="458"/>
      <c r="AD134" s="458" t="s">
        <v>2284</v>
      </c>
      <c r="AE134" s="458" t="s">
        <v>2285</v>
      </c>
      <c r="AF134" s="458"/>
      <c r="AG134" s="459"/>
    </row>
    <row r="135" spans="1:33" ht="15.75" thickBot="1">
      <c r="A135" s="395"/>
      <c r="B135" s="398"/>
      <c r="C135" s="395"/>
      <c r="D135" s="410"/>
      <c r="E135" s="415"/>
      <c r="F135" s="398"/>
      <c r="G135" s="411"/>
      <c r="H135" s="398"/>
      <c r="I135" s="398"/>
      <c r="J135" s="398"/>
      <c r="K135" s="390"/>
      <c r="L135" s="390"/>
      <c r="M135" s="390"/>
      <c r="N135" s="390"/>
      <c r="O135" s="390"/>
      <c r="P135" s="395"/>
      <c r="Q135" s="456"/>
      <c r="R135" s="421"/>
      <c r="S135" s="389"/>
      <c r="T135" s="389"/>
      <c r="U135" s="389"/>
      <c r="V135" s="389"/>
      <c r="W135" s="457"/>
      <c r="X135" s="457"/>
      <c r="Y135" s="457"/>
      <c r="Z135" s="457"/>
      <c r="AA135" s="103" t="s">
        <v>2286</v>
      </c>
      <c r="AB135" s="103" t="s">
        <v>2287</v>
      </c>
      <c r="AC135" s="458"/>
      <c r="AD135" s="458"/>
      <c r="AE135" s="458"/>
      <c r="AF135" s="458"/>
      <c r="AG135" s="459"/>
    </row>
    <row r="136" spans="1:33" ht="15.75" thickBot="1">
      <c r="A136" s="395" t="s">
        <v>2277</v>
      </c>
      <c r="B136" s="398" t="s">
        <v>1814</v>
      </c>
      <c r="C136" s="395" t="s">
        <v>891</v>
      </c>
      <c r="D136" s="409" t="s">
        <v>889</v>
      </c>
      <c r="E136" s="414" t="str">
        <f>VLOOKUP(D136,OfertaPlazas!B:D,3,FALSE)</f>
        <v>Bari</v>
      </c>
      <c r="F136" s="398" t="s">
        <v>889</v>
      </c>
      <c r="G136" s="411">
        <v>999431159</v>
      </c>
      <c r="H136" s="398" t="s">
        <v>76</v>
      </c>
      <c r="I136" s="398" t="s">
        <v>76</v>
      </c>
      <c r="J136" s="398" t="s">
        <v>76</v>
      </c>
      <c r="K136" s="390" t="s">
        <v>75</v>
      </c>
      <c r="L136" s="390" t="s">
        <v>75</v>
      </c>
      <c r="M136" s="390" t="s">
        <v>76</v>
      </c>
      <c r="N136" s="390" t="s">
        <v>75</v>
      </c>
      <c r="O136" s="390" t="s">
        <v>76</v>
      </c>
      <c r="P136" s="395" t="s">
        <v>2291</v>
      </c>
      <c r="Q136" s="456" t="s">
        <v>75</v>
      </c>
      <c r="R136" s="421" t="s">
        <v>2281</v>
      </c>
      <c r="S136" s="389" t="s">
        <v>2291</v>
      </c>
      <c r="T136" s="389" t="s">
        <v>2291</v>
      </c>
      <c r="U136" s="389">
        <v>1</v>
      </c>
      <c r="V136" s="389">
        <v>1</v>
      </c>
      <c r="W136" s="457">
        <v>44331</v>
      </c>
      <c r="X136" s="457">
        <v>44515</v>
      </c>
      <c r="Y136" s="457">
        <v>44348</v>
      </c>
      <c r="Z136" s="457">
        <v>44531</v>
      </c>
      <c r="AA136" s="103" t="s">
        <v>2282</v>
      </c>
      <c r="AB136" s="103" t="s">
        <v>2283</v>
      </c>
      <c r="AC136" s="458"/>
      <c r="AD136" s="458" t="s">
        <v>2284</v>
      </c>
      <c r="AE136" s="458" t="s">
        <v>2285</v>
      </c>
      <c r="AF136" s="458"/>
      <c r="AG136" s="459"/>
    </row>
    <row r="137" spans="1:33" ht="15.75" thickBot="1">
      <c r="A137" s="395"/>
      <c r="B137" s="398"/>
      <c r="C137" s="395"/>
      <c r="D137" s="410"/>
      <c r="E137" s="415"/>
      <c r="F137" s="398"/>
      <c r="G137" s="411"/>
      <c r="H137" s="398"/>
      <c r="I137" s="398"/>
      <c r="J137" s="398"/>
      <c r="K137" s="390"/>
      <c r="L137" s="390"/>
      <c r="M137" s="390"/>
      <c r="N137" s="390"/>
      <c r="O137" s="390"/>
      <c r="P137" s="395"/>
      <c r="Q137" s="456"/>
      <c r="R137" s="421"/>
      <c r="S137" s="389"/>
      <c r="T137" s="389"/>
      <c r="U137" s="389"/>
      <c r="V137" s="389"/>
      <c r="W137" s="457"/>
      <c r="X137" s="457"/>
      <c r="Y137" s="457"/>
      <c r="Z137" s="457"/>
      <c r="AA137" s="103" t="s">
        <v>2286</v>
      </c>
      <c r="AB137" s="103" t="s">
        <v>2287</v>
      </c>
      <c r="AC137" s="458"/>
      <c r="AD137" s="458"/>
      <c r="AE137" s="458"/>
      <c r="AF137" s="458"/>
      <c r="AG137" s="459"/>
    </row>
    <row r="138" spans="1:33" ht="15.75" thickBot="1">
      <c r="A138" s="395" t="s">
        <v>2277</v>
      </c>
      <c r="B138" s="398" t="s">
        <v>1814</v>
      </c>
      <c r="C138" s="395" t="s">
        <v>2405</v>
      </c>
      <c r="D138" s="409" t="s">
        <v>905</v>
      </c>
      <c r="E138" s="414" t="str">
        <f>VLOOKUP(D138,OfertaPlazas!B:D,3,FALSE)</f>
        <v>Florencia</v>
      </c>
      <c r="F138" s="398" t="s">
        <v>905</v>
      </c>
      <c r="G138" s="411">
        <v>999895789</v>
      </c>
      <c r="H138" s="398" t="s">
        <v>76</v>
      </c>
      <c r="I138" s="398" t="s">
        <v>76</v>
      </c>
      <c r="J138" s="398" t="s">
        <v>76</v>
      </c>
      <c r="K138" s="390" t="s">
        <v>75</v>
      </c>
      <c r="L138" s="390" t="s">
        <v>75</v>
      </c>
      <c r="M138" s="390" t="s">
        <v>76</v>
      </c>
      <c r="N138" s="390" t="s">
        <v>75</v>
      </c>
      <c r="O138" s="390" t="s">
        <v>76</v>
      </c>
      <c r="P138" s="395" t="s">
        <v>2291</v>
      </c>
      <c r="Q138" s="456" t="s">
        <v>75</v>
      </c>
      <c r="R138" s="105" t="s">
        <v>2281</v>
      </c>
      <c r="S138" s="389" t="s">
        <v>2291</v>
      </c>
      <c r="T138" s="389" t="s">
        <v>2291</v>
      </c>
      <c r="U138" s="389">
        <v>1</v>
      </c>
      <c r="V138" s="389">
        <v>1</v>
      </c>
      <c r="W138" s="457">
        <v>44331</v>
      </c>
      <c r="X138" s="457">
        <v>44515</v>
      </c>
      <c r="Y138" s="457">
        <v>44348</v>
      </c>
      <c r="Z138" s="457">
        <v>44531</v>
      </c>
      <c r="AA138" s="103" t="s">
        <v>2282</v>
      </c>
      <c r="AB138" s="103" t="s">
        <v>2283</v>
      </c>
      <c r="AC138" s="458"/>
      <c r="AD138" s="458" t="s">
        <v>2284</v>
      </c>
      <c r="AE138" s="458" t="s">
        <v>2285</v>
      </c>
      <c r="AF138" s="458"/>
      <c r="AG138" s="459"/>
    </row>
    <row r="139" spans="1:33" ht="15.75" thickBot="1">
      <c r="A139" s="395"/>
      <c r="B139" s="398"/>
      <c r="C139" s="395"/>
      <c r="D139" s="410"/>
      <c r="E139" s="415"/>
      <c r="F139" s="398"/>
      <c r="G139" s="411"/>
      <c r="H139" s="398"/>
      <c r="I139" s="398"/>
      <c r="J139" s="398"/>
      <c r="K139" s="390"/>
      <c r="L139" s="390"/>
      <c r="M139" s="390"/>
      <c r="N139" s="390"/>
      <c r="O139" s="390"/>
      <c r="P139" s="395"/>
      <c r="Q139" s="456"/>
      <c r="R139" s="105" t="s">
        <v>2301</v>
      </c>
      <c r="S139" s="389"/>
      <c r="T139" s="389"/>
      <c r="U139" s="389"/>
      <c r="V139" s="389"/>
      <c r="W139" s="457"/>
      <c r="X139" s="457"/>
      <c r="Y139" s="457"/>
      <c r="Z139" s="457"/>
      <c r="AA139" s="103" t="s">
        <v>2286</v>
      </c>
      <c r="AB139" s="103" t="s">
        <v>2287</v>
      </c>
      <c r="AC139" s="458"/>
      <c r="AD139" s="458"/>
      <c r="AE139" s="458"/>
      <c r="AF139" s="458"/>
      <c r="AG139" s="459"/>
    </row>
    <row r="140" spans="1:33" ht="15.75" thickBot="1">
      <c r="A140" s="395" t="s">
        <v>2277</v>
      </c>
      <c r="B140" s="398" t="s">
        <v>1814</v>
      </c>
      <c r="C140" s="395" t="s">
        <v>2406</v>
      </c>
      <c r="D140" s="410" t="s">
        <v>913</v>
      </c>
      <c r="E140" s="415" t="str">
        <f>VLOOKUP(D140,OfertaPlazas!B:D,3,FALSE)</f>
        <v>Milán</v>
      </c>
      <c r="F140" s="398" t="s">
        <v>913</v>
      </c>
      <c r="G140" s="411">
        <v>999879881</v>
      </c>
      <c r="H140" s="398" t="s">
        <v>76</v>
      </c>
      <c r="I140" s="398" t="s">
        <v>76</v>
      </c>
      <c r="J140" s="398" t="s">
        <v>76</v>
      </c>
      <c r="K140" s="390" t="s">
        <v>75</v>
      </c>
      <c r="L140" s="390" t="s">
        <v>75</v>
      </c>
      <c r="M140" s="390" t="s">
        <v>76</v>
      </c>
      <c r="N140" s="390" t="s">
        <v>75</v>
      </c>
      <c r="O140" s="390" t="s">
        <v>76</v>
      </c>
      <c r="P140" s="395" t="s">
        <v>2407</v>
      </c>
      <c r="Q140" s="456" t="s">
        <v>75</v>
      </c>
      <c r="R140" s="105" t="s">
        <v>2281</v>
      </c>
      <c r="S140" s="389" t="s">
        <v>2407</v>
      </c>
      <c r="T140" s="389" t="s">
        <v>2407</v>
      </c>
      <c r="U140" s="389">
        <v>1</v>
      </c>
      <c r="V140" s="389">
        <v>1</v>
      </c>
      <c r="W140" s="457">
        <v>44331</v>
      </c>
      <c r="X140" s="457">
        <v>44515</v>
      </c>
      <c r="Y140" s="457">
        <v>44348</v>
      </c>
      <c r="Z140" s="457">
        <v>44531</v>
      </c>
      <c r="AA140" s="103" t="s">
        <v>2282</v>
      </c>
      <c r="AB140" s="103" t="s">
        <v>2283</v>
      </c>
      <c r="AC140" s="458"/>
      <c r="AD140" s="458" t="s">
        <v>2284</v>
      </c>
      <c r="AE140" s="458" t="s">
        <v>2285</v>
      </c>
      <c r="AF140" s="458"/>
      <c r="AG140" s="459" t="s">
        <v>2408</v>
      </c>
    </row>
    <row r="141" spans="1:33" ht="15.75" thickBot="1">
      <c r="A141" s="395"/>
      <c r="B141" s="398"/>
      <c r="C141" s="395"/>
      <c r="D141" s="410"/>
      <c r="E141" s="415"/>
      <c r="F141" s="398"/>
      <c r="G141" s="411"/>
      <c r="H141" s="398"/>
      <c r="I141" s="398"/>
      <c r="J141" s="398"/>
      <c r="K141" s="390"/>
      <c r="L141" s="390"/>
      <c r="M141" s="390"/>
      <c r="N141" s="390"/>
      <c r="O141" s="390"/>
      <c r="P141" s="395"/>
      <c r="Q141" s="456"/>
      <c r="R141" s="105" t="s">
        <v>2303</v>
      </c>
      <c r="S141" s="389"/>
      <c r="T141" s="389"/>
      <c r="U141" s="389"/>
      <c r="V141" s="389"/>
      <c r="W141" s="457"/>
      <c r="X141" s="457"/>
      <c r="Y141" s="457"/>
      <c r="Z141" s="457"/>
      <c r="AA141" s="103" t="s">
        <v>2286</v>
      </c>
      <c r="AB141" s="103" t="s">
        <v>2287</v>
      </c>
      <c r="AC141" s="458"/>
      <c r="AD141" s="458"/>
      <c r="AE141" s="458"/>
      <c r="AF141" s="458"/>
      <c r="AG141" s="459"/>
    </row>
    <row r="142" spans="1:33" ht="15.75" thickBot="1">
      <c r="A142" s="395"/>
      <c r="B142" s="398"/>
      <c r="C142" s="395"/>
      <c r="D142" s="410"/>
      <c r="E142" s="415"/>
      <c r="F142" s="398"/>
      <c r="G142" s="411"/>
      <c r="H142" s="398"/>
      <c r="I142" s="398"/>
      <c r="J142" s="398"/>
      <c r="K142" s="390"/>
      <c r="L142" s="390"/>
      <c r="M142" s="390"/>
      <c r="N142" s="390"/>
      <c r="O142" s="390"/>
      <c r="P142" s="395"/>
      <c r="Q142" s="456"/>
      <c r="R142" s="105" t="s">
        <v>2294</v>
      </c>
      <c r="S142" s="389"/>
      <c r="T142" s="389"/>
      <c r="U142" s="389"/>
      <c r="V142" s="389"/>
      <c r="W142" s="457"/>
      <c r="X142" s="457"/>
      <c r="Y142" s="457"/>
      <c r="Z142" s="457"/>
      <c r="AA142" s="103"/>
      <c r="AB142" s="103"/>
      <c r="AC142" s="458"/>
      <c r="AD142" s="458"/>
      <c r="AE142" s="458"/>
      <c r="AF142" s="458"/>
      <c r="AG142" s="459"/>
    </row>
    <row r="143" spans="1:33" ht="15.75" thickBot="1">
      <c r="A143" s="395"/>
      <c r="B143" s="398"/>
      <c r="C143" s="395"/>
      <c r="D143" s="410"/>
      <c r="E143" s="415"/>
      <c r="F143" s="398"/>
      <c r="G143" s="411"/>
      <c r="H143" s="398"/>
      <c r="I143" s="398"/>
      <c r="J143" s="398"/>
      <c r="K143" s="390"/>
      <c r="L143" s="390"/>
      <c r="M143" s="390"/>
      <c r="N143" s="390"/>
      <c r="O143" s="390"/>
      <c r="P143" s="395"/>
      <c r="Q143" s="456"/>
      <c r="R143" s="105" t="s">
        <v>2301</v>
      </c>
      <c r="S143" s="389"/>
      <c r="T143" s="389"/>
      <c r="U143" s="389"/>
      <c r="V143" s="389"/>
      <c r="W143" s="457"/>
      <c r="X143" s="457"/>
      <c r="Y143" s="457"/>
      <c r="Z143" s="457"/>
      <c r="AA143" s="103"/>
      <c r="AB143" s="103"/>
      <c r="AC143" s="458"/>
      <c r="AD143" s="458"/>
      <c r="AE143" s="458"/>
      <c r="AF143" s="458"/>
      <c r="AG143" s="459"/>
    </row>
    <row r="144" spans="1:33" ht="15.75" thickBot="1">
      <c r="A144" s="395" t="s">
        <v>2277</v>
      </c>
      <c r="B144" s="398" t="s">
        <v>1814</v>
      </c>
      <c r="C144" s="395" t="s">
        <v>2409</v>
      </c>
      <c r="D144" s="409" t="s">
        <v>927</v>
      </c>
      <c r="E144" s="414" t="str">
        <f>VLOOKUP(D144,OfertaPlazas!B:D,3,FALSE)</f>
        <v>Napoles</v>
      </c>
      <c r="F144" s="398" t="s">
        <v>2410</v>
      </c>
      <c r="G144" s="411">
        <v>999976590</v>
      </c>
      <c r="H144" s="398" t="s">
        <v>76</v>
      </c>
      <c r="I144" s="398" t="s">
        <v>76</v>
      </c>
      <c r="J144" s="398" t="s">
        <v>76</v>
      </c>
      <c r="K144" s="390" t="s">
        <v>75</v>
      </c>
      <c r="L144" s="390" t="s">
        <v>75</v>
      </c>
      <c r="M144" s="390" t="s">
        <v>76</v>
      </c>
      <c r="N144" s="390" t="s">
        <v>75</v>
      </c>
      <c r="O144" s="390" t="s">
        <v>76</v>
      </c>
      <c r="P144" s="395" t="s">
        <v>2291</v>
      </c>
      <c r="Q144" s="456" t="s">
        <v>75</v>
      </c>
      <c r="R144" s="105" t="s">
        <v>2281</v>
      </c>
      <c r="S144" s="389" t="s">
        <v>2291</v>
      </c>
      <c r="T144" s="389" t="s">
        <v>2291</v>
      </c>
      <c r="U144" s="389">
        <v>1</v>
      </c>
      <c r="V144" s="389">
        <v>1</v>
      </c>
      <c r="W144" s="457">
        <v>44331</v>
      </c>
      <c r="X144" s="457">
        <v>44515</v>
      </c>
      <c r="Y144" s="457">
        <v>44348</v>
      </c>
      <c r="Z144" s="457">
        <v>44531</v>
      </c>
      <c r="AA144" s="103" t="s">
        <v>2282</v>
      </c>
      <c r="AB144" s="103" t="s">
        <v>2283</v>
      </c>
      <c r="AC144" s="458"/>
      <c r="AD144" s="458" t="s">
        <v>2284</v>
      </c>
      <c r="AE144" s="458" t="s">
        <v>2285</v>
      </c>
      <c r="AF144" s="458"/>
      <c r="AG144" s="459"/>
    </row>
    <row r="145" spans="1:33" ht="15.75" thickBot="1">
      <c r="A145" s="395"/>
      <c r="B145" s="398"/>
      <c r="C145" s="395"/>
      <c r="D145" s="410"/>
      <c r="E145" s="415"/>
      <c r="F145" s="398"/>
      <c r="G145" s="411"/>
      <c r="H145" s="398"/>
      <c r="I145" s="398"/>
      <c r="J145" s="398"/>
      <c r="K145" s="390"/>
      <c r="L145" s="390"/>
      <c r="M145" s="390"/>
      <c r="N145" s="390"/>
      <c r="O145" s="390"/>
      <c r="P145" s="395"/>
      <c r="Q145" s="456"/>
      <c r="R145" s="105" t="s">
        <v>2301</v>
      </c>
      <c r="S145" s="389"/>
      <c r="T145" s="389"/>
      <c r="U145" s="389"/>
      <c r="V145" s="389"/>
      <c r="W145" s="457"/>
      <c r="X145" s="457"/>
      <c r="Y145" s="457"/>
      <c r="Z145" s="457"/>
      <c r="AA145" s="103" t="s">
        <v>2286</v>
      </c>
      <c r="AB145" s="103" t="s">
        <v>2287</v>
      </c>
      <c r="AC145" s="458"/>
      <c r="AD145" s="458"/>
      <c r="AE145" s="458"/>
      <c r="AF145" s="458"/>
      <c r="AG145" s="459"/>
    </row>
    <row r="146" spans="1:33" ht="15.75" thickBot="1">
      <c r="A146" s="395" t="s">
        <v>2277</v>
      </c>
      <c r="B146" s="398" t="s">
        <v>1814</v>
      </c>
      <c r="C146" s="395" t="s">
        <v>2409</v>
      </c>
      <c r="D146" s="409" t="s">
        <v>934</v>
      </c>
      <c r="E146" s="414" t="str">
        <f>VLOOKUP(D146,OfertaPlazas!B:D,3,FALSE)</f>
        <v>Napoles</v>
      </c>
      <c r="F146" s="398" t="s">
        <v>2411</v>
      </c>
      <c r="G146" s="411">
        <v>999856019</v>
      </c>
      <c r="H146" s="398" t="s">
        <v>76</v>
      </c>
      <c r="I146" s="398" t="s">
        <v>76</v>
      </c>
      <c r="J146" s="398" t="s">
        <v>76</v>
      </c>
      <c r="K146" s="390" t="s">
        <v>75</v>
      </c>
      <c r="L146" s="390" t="s">
        <v>75</v>
      </c>
      <c r="M146" s="390" t="s">
        <v>76</v>
      </c>
      <c r="N146" s="390" t="s">
        <v>75</v>
      </c>
      <c r="O146" s="390" t="s">
        <v>76</v>
      </c>
      <c r="P146" s="395" t="s">
        <v>2373</v>
      </c>
      <c r="Q146" s="456" t="s">
        <v>75</v>
      </c>
      <c r="R146" s="105" t="s">
        <v>2281</v>
      </c>
      <c r="S146" s="389" t="s">
        <v>2291</v>
      </c>
      <c r="T146" s="389" t="s">
        <v>2291</v>
      </c>
      <c r="U146" s="389">
        <v>1</v>
      </c>
      <c r="V146" s="389">
        <v>1</v>
      </c>
      <c r="W146" s="457">
        <v>44331</v>
      </c>
      <c r="X146" s="457">
        <v>44515</v>
      </c>
      <c r="Y146" s="457">
        <v>44348</v>
      </c>
      <c r="Z146" s="457">
        <v>44531</v>
      </c>
      <c r="AA146" s="103" t="s">
        <v>2282</v>
      </c>
      <c r="AB146" s="103" t="s">
        <v>2283</v>
      </c>
      <c r="AC146" s="458"/>
      <c r="AD146" s="458" t="s">
        <v>2284</v>
      </c>
      <c r="AE146" s="458" t="s">
        <v>2285</v>
      </c>
      <c r="AF146" s="458"/>
      <c r="AG146" s="459"/>
    </row>
    <row r="147" spans="1:33" ht="15.75" thickBot="1">
      <c r="A147" s="395"/>
      <c r="B147" s="398"/>
      <c r="C147" s="395"/>
      <c r="D147" s="410"/>
      <c r="E147" s="415"/>
      <c r="F147" s="398"/>
      <c r="G147" s="411"/>
      <c r="H147" s="398"/>
      <c r="I147" s="398"/>
      <c r="J147" s="398"/>
      <c r="K147" s="390"/>
      <c r="L147" s="390"/>
      <c r="M147" s="390"/>
      <c r="N147" s="390"/>
      <c r="O147" s="390"/>
      <c r="P147" s="395"/>
      <c r="Q147" s="456"/>
      <c r="R147" s="105" t="s">
        <v>2301</v>
      </c>
      <c r="S147" s="389"/>
      <c r="T147" s="389"/>
      <c r="U147" s="389"/>
      <c r="V147" s="389"/>
      <c r="W147" s="457"/>
      <c r="X147" s="457"/>
      <c r="Y147" s="457"/>
      <c r="Z147" s="457"/>
      <c r="AA147" s="103" t="s">
        <v>2286</v>
      </c>
      <c r="AB147" s="103" t="s">
        <v>2287</v>
      </c>
      <c r="AC147" s="458"/>
      <c r="AD147" s="458"/>
      <c r="AE147" s="458"/>
      <c r="AF147" s="458"/>
      <c r="AG147" s="459"/>
    </row>
    <row r="148" spans="1:33" ht="15.75" thickBot="1">
      <c r="A148" s="395" t="s">
        <v>2277</v>
      </c>
      <c r="B148" s="398" t="s">
        <v>1814</v>
      </c>
      <c r="C148" s="395" t="s">
        <v>963</v>
      </c>
      <c r="D148" s="409" t="s">
        <v>2412</v>
      </c>
      <c r="E148" s="414" t="e">
        <f>VLOOKUP(D148,OfertaPlazas!B:D,3,FALSE)</f>
        <v>#N/A</v>
      </c>
      <c r="F148" s="398" t="s">
        <v>962</v>
      </c>
      <c r="G148" s="411">
        <v>999995602</v>
      </c>
      <c r="H148" s="398" t="s">
        <v>76</v>
      </c>
      <c r="I148" s="398" t="s">
        <v>76</v>
      </c>
      <c r="J148" s="398" t="s">
        <v>76</v>
      </c>
      <c r="K148" s="390" t="s">
        <v>75</v>
      </c>
      <c r="L148" s="390" t="s">
        <v>75</v>
      </c>
      <c r="M148" s="390" t="s">
        <v>76</v>
      </c>
      <c r="N148" s="390" t="s">
        <v>75</v>
      </c>
      <c r="O148" s="390" t="s">
        <v>76</v>
      </c>
      <c r="P148" s="395" t="s">
        <v>2280</v>
      </c>
      <c r="Q148" s="456" t="s">
        <v>75</v>
      </c>
      <c r="R148" s="105" t="s">
        <v>2281</v>
      </c>
      <c r="S148" s="389" t="s">
        <v>2280</v>
      </c>
      <c r="T148" s="389" t="s">
        <v>2280</v>
      </c>
      <c r="U148" s="389">
        <v>1</v>
      </c>
      <c r="V148" s="389">
        <v>1</v>
      </c>
      <c r="W148" s="457">
        <v>44331</v>
      </c>
      <c r="X148" s="457">
        <v>44515</v>
      </c>
      <c r="Y148" s="457">
        <v>44348</v>
      </c>
      <c r="Z148" s="457">
        <v>44531</v>
      </c>
      <c r="AA148" s="103" t="s">
        <v>2282</v>
      </c>
      <c r="AB148" s="103" t="s">
        <v>2283</v>
      </c>
      <c r="AC148" s="458"/>
      <c r="AD148" s="458" t="s">
        <v>2284</v>
      </c>
      <c r="AE148" s="458" t="s">
        <v>2285</v>
      </c>
      <c r="AF148" s="458"/>
      <c r="AG148" s="459"/>
    </row>
    <row r="149" spans="1:33" ht="15.75" thickBot="1">
      <c r="A149" s="395"/>
      <c r="B149" s="398"/>
      <c r="C149" s="395"/>
      <c r="D149" s="410"/>
      <c r="E149" s="415"/>
      <c r="F149" s="398"/>
      <c r="G149" s="411"/>
      <c r="H149" s="398"/>
      <c r="I149" s="398"/>
      <c r="J149" s="398"/>
      <c r="K149" s="390"/>
      <c r="L149" s="390"/>
      <c r="M149" s="390"/>
      <c r="N149" s="390"/>
      <c r="O149" s="390"/>
      <c r="P149" s="395"/>
      <c r="Q149" s="456"/>
      <c r="R149" s="105" t="s">
        <v>2301</v>
      </c>
      <c r="S149" s="389"/>
      <c r="T149" s="389"/>
      <c r="U149" s="389"/>
      <c r="V149" s="389"/>
      <c r="W149" s="457"/>
      <c r="X149" s="457"/>
      <c r="Y149" s="457"/>
      <c r="Z149" s="457"/>
      <c r="AA149" s="103" t="s">
        <v>2286</v>
      </c>
      <c r="AB149" s="103" t="s">
        <v>2287</v>
      </c>
      <c r="AC149" s="458"/>
      <c r="AD149" s="458"/>
      <c r="AE149" s="458"/>
      <c r="AF149" s="458"/>
      <c r="AG149" s="459"/>
    </row>
    <row r="150" spans="1:33" ht="15.75" thickBot="1">
      <c r="A150" s="395" t="s">
        <v>2277</v>
      </c>
      <c r="B150" s="398" t="s">
        <v>1814</v>
      </c>
      <c r="C150" s="395" t="s">
        <v>982</v>
      </c>
      <c r="D150" s="409" t="s">
        <v>980</v>
      </c>
      <c r="E150" s="414" t="str">
        <f>VLOOKUP(D150,OfertaPlazas!B:D,3,FALSE)</f>
        <v>Pavia</v>
      </c>
      <c r="F150" s="398" t="s">
        <v>981</v>
      </c>
      <c r="G150" s="411">
        <v>999893752</v>
      </c>
      <c r="H150" s="398" t="s">
        <v>76</v>
      </c>
      <c r="I150" s="398" t="s">
        <v>76</v>
      </c>
      <c r="J150" s="398" t="s">
        <v>76</v>
      </c>
      <c r="K150" s="390" t="s">
        <v>75</v>
      </c>
      <c r="L150" s="390" t="s">
        <v>75</v>
      </c>
      <c r="M150" s="390" t="s">
        <v>75</v>
      </c>
      <c r="N150" s="390" t="s">
        <v>75</v>
      </c>
      <c r="O150" s="390" t="s">
        <v>76</v>
      </c>
      <c r="P150" s="395" t="s">
        <v>2280</v>
      </c>
      <c r="Q150" s="456" t="s">
        <v>75</v>
      </c>
      <c r="R150" s="105" t="s">
        <v>2303</v>
      </c>
      <c r="S150" s="389" t="s">
        <v>2280</v>
      </c>
      <c r="T150" s="389" t="s">
        <v>2280</v>
      </c>
      <c r="U150" s="389">
        <v>1</v>
      </c>
      <c r="V150" s="389">
        <v>1</v>
      </c>
      <c r="W150" s="457">
        <v>44331</v>
      </c>
      <c r="X150" s="457">
        <v>44515</v>
      </c>
      <c r="Y150" s="457">
        <v>44348</v>
      </c>
      <c r="Z150" s="457">
        <v>44531</v>
      </c>
      <c r="AA150" s="103" t="s">
        <v>2282</v>
      </c>
      <c r="AB150" s="103" t="s">
        <v>2283</v>
      </c>
      <c r="AC150" s="458"/>
      <c r="AD150" s="458" t="s">
        <v>2284</v>
      </c>
      <c r="AE150" s="458" t="s">
        <v>2285</v>
      </c>
      <c r="AF150" s="458"/>
      <c r="AG150" s="459"/>
    </row>
    <row r="151" spans="1:33" ht="15.75" thickBot="1">
      <c r="A151" s="395"/>
      <c r="B151" s="398"/>
      <c r="C151" s="395"/>
      <c r="D151" s="410"/>
      <c r="E151" s="415"/>
      <c r="F151" s="398"/>
      <c r="G151" s="411"/>
      <c r="H151" s="398"/>
      <c r="I151" s="398"/>
      <c r="J151" s="398"/>
      <c r="K151" s="390"/>
      <c r="L151" s="390"/>
      <c r="M151" s="390"/>
      <c r="N151" s="390"/>
      <c r="O151" s="390"/>
      <c r="P151" s="395"/>
      <c r="Q151" s="456"/>
      <c r="R151" s="105" t="s">
        <v>2301</v>
      </c>
      <c r="S151" s="389"/>
      <c r="T151" s="389"/>
      <c r="U151" s="389"/>
      <c r="V151" s="389"/>
      <c r="W151" s="457"/>
      <c r="X151" s="457"/>
      <c r="Y151" s="457"/>
      <c r="Z151" s="457"/>
      <c r="AA151" s="103" t="s">
        <v>2286</v>
      </c>
      <c r="AB151" s="103" t="s">
        <v>2287</v>
      </c>
      <c r="AC151" s="458"/>
      <c r="AD151" s="458"/>
      <c r="AE151" s="458"/>
      <c r="AF151" s="458"/>
      <c r="AG151" s="459"/>
    </row>
    <row r="152" spans="1:33" ht="15.75" thickBot="1">
      <c r="A152" s="395" t="s">
        <v>2277</v>
      </c>
      <c r="B152" s="398" t="s">
        <v>1814</v>
      </c>
      <c r="C152" s="395" t="s">
        <v>945</v>
      </c>
      <c r="D152" s="409" t="s">
        <v>943</v>
      </c>
      <c r="E152" s="414" t="str">
        <f>VLOOKUP(D152,OfertaPlazas!B:D,3,FALSE)</f>
        <v>Roma</v>
      </c>
      <c r="F152" s="398" t="s">
        <v>2413</v>
      </c>
      <c r="G152" s="411">
        <v>999987745</v>
      </c>
      <c r="H152" s="398" t="s">
        <v>76</v>
      </c>
      <c r="I152" s="398" t="s">
        <v>76</v>
      </c>
      <c r="J152" s="398" t="s">
        <v>76</v>
      </c>
      <c r="K152" s="390" t="s">
        <v>75</v>
      </c>
      <c r="L152" s="390" t="s">
        <v>75</v>
      </c>
      <c r="M152" s="390" t="s">
        <v>76</v>
      </c>
      <c r="N152" s="390" t="s">
        <v>75</v>
      </c>
      <c r="O152" s="390" t="s">
        <v>76</v>
      </c>
      <c r="P152" s="395" t="s">
        <v>2291</v>
      </c>
      <c r="Q152" s="456" t="s">
        <v>75</v>
      </c>
      <c r="R152" s="105" t="s">
        <v>2281</v>
      </c>
      <c r="S152" s="389" t="s">
        <v>2291</v>
      </c>
      <c r="T152" s="389" t="s">
        <v>2291</v>
      </c>
      <c r="U152" s="389">
        <v>1</v>
      </c>
      <c r="V152" s="389">
        <v>1</v>
      </c>
      <c r="W152" s="457">
        <v>44331</v>
      </c>
      <c r="X152" s="457">
        <v>44515</v>
      </c>
      <c r="Y152" s="457">
        <v>44348</v>
      </c>
      <c r="Z152" s="457">
        <v>44531</v>
      </c>
      <c r="AA152" s="103" t="s">
        <v>2282</v>
      </c>
      <c r="AB152" s="103" t="s">
        <v>2283</v>
      </c>
      <c r="AC152" s="458"/>
      <c r="AD152" s="458" t="s">
        <v>2284</v>
      </c>
      <c r="AE152" s="458" t="s">
        <v>2285</v>
      </c>
      <c r="AF152" s="458"/>
      <c r="AG152" s="459"/>
    </row>
    <row r="153" spans="1:33" ht="15.75" thickBot="1">
      <c r="A153" s="395"/>
      <c r="B153" s="398"/>
      <c r="C153" s="395"/>
      <c r="D153" s="410"/>
      <c r="E153" s="415"/>
      <c r="F153" s="398"/>
      <c r="G153" s="411"/>
      <c r="H153" s="398"/>
      <c r="I153" s="398"/>
      <c r="J153" s="398"/>
      <c r="K153" s="390"/>
      <c r="L153" s="390"/>
      <c r="M153" s="390"/>
      <c r="N153" s="390"/>
      <c r="O153" s="390"/>
      <c r="P153" s="395"/>
      <c r="Q153" s="456"/>
      <c r="R153" s="105" t="s">
        <v>2414</v>
      </c>
      <c r="S153" s="389"/>
      <c r="T153" s="389"/>
      <c r="U153" s="389"/>
      <c r="V153" s="389"/>
      <c r="W153" s="457"/>
      <c r="X153" s="457"/>
      <c r="Y153" s="457"/>
      <c r="Z153" s="457"/>
      <c r="AA153" s="103" t="s">
        <v>2286</v>
      </c>
      <c r="AB153" s="103" t="s">
        <v>2287</v>
      </c>
      <c r="AC153" s="458"/>
      <c r="AD153" s="458"/>
      <c r="AE153" s="458"/>
      <c r="AF153" s="458"/>
      <c r="AG153" s="459"/>
    </row>
    <row r="154" spans="1:33" ht="15.75" thickBot="1">
      <c r="A154" s="395" t="s">
        <v>2277</v>
      </c>
      <c r="B154" s="398" t="s">
        <v>1814</v>
      </c>
      <c r="C154" s="395" t="s">
        <v>2415</v>
      </c>
      <c r="D154" s="410" t="s">
        <v>996</v>
      </c>
      <c r="E154" s="415" t="str">
        <f>VLOOKUP(D154,OfertaPlazas!B:D,3,FALSE)</f>
        <v>Turín</v>
      </c>
      <c r="F154" s="398" t="s">
        <v>996</v>
      </c>
      <c r="G154" s="411">
        <v>999977754</v>
      </c>
      <c r="H154" s="398" t="s">
        <v>76</v>
      </c>
      <c r="I154" s="398" t="s">
        <v>76</v>
      </c>
      <c r="J154" s="398" t="s">
        <v>76</v>
      </c>
      <c r="K154" s="390" t="s">
        <v>75</v>
      </c>
      <c r="L154" s="390" t="s">
        <v>75</v>
      </c>
      <c r="M154" s="390" t="s">
        <v>76</v>
      </c>
      <c r="N154" s="390" t="s">
        <v>75</v>
      </c>
      <c r="O154" s="390" t="s">
        <v>76</v>
      </c>
      <c r="P154" s="395" t="s">
        <v>2407</v>
      </c>
      <c r="Q154" s="456" t="s">
        <v>75</v>
      </c>
      <c r="R154" s="105" t="s">
        <v>2281</v>
      </c>
      <c r="S154" s="389" t="s">
        <v>2407</v>
      </c>
      <c r="T154" s="389" t="s">
        <v>2407</v>
      </c>
      <c r="U154" s="389">
        <v>1</v>
      </c>
      <c r="V154" s="389">
        <v>1</v>
      </c>
      <c r="W154" s="457">
        <v>44331</v>
      </c>
      <c r="X154" s="457">
        <v>44515</v>
      </c>
      <c r="Y154" s="457">
        <v>44348</v>
      </c>
      <c r="Z154" s="457">
        <v>44531</v>
      </c>
      <c r="AA154" s="103" t="s">
        <v>2282</v>
      </c>
      <c r="AB154" s="103" t="s">
        <v>2283</v>
      </c>
      <c r="AC154" s="458"/>
      <c r="AD154" s="458" t="s">
        <v>2284</v>
      </c>
      <c r="AE154" s="458" t="s">
        <v>2285</v>
      </c>
      <c r="AF154" s="458"/>
      <c r="AG154" s="459" t="s">
        <v>1846</v>
      </c>
    </row>
    <row r="155" spans="1:33" ht="15.75" thickBot="1">
      <c r="A155" s="395"/>
      <c r="B155" s="398"/>
      <c r="C155" s="395"/>
      <c r="D155" s="410"/>
      <c r="E155" s="415"/>
      <c r="F155" s="398"/>
      <c r="G155" s="411"/>
      <c r="H155" s="398"/>
      <c r="I155" s="398"/>
      <c r="J155" s="398"/>
      <c r="K155" s="390"/>
      <c r="L155" s="390"/>
      <c r="M155" s="390"/>
      <c r="N155" s="390"/>
      <c r="O155" s="390"/>
      <c r="P155" s="395"/>
      <c r="Q155" s="456"/>
      <c r="R155" s="105" t="s">
        <v>2301</v>
      </c>
      <c r="S155" s="389"/>
      <c r="T155" s="389"/>
      <c r="U155" s="389"/>
      <c r="V155" s="389"/>
      <c r="W155" s="457"/>
      <c r="X155" s="457"/>
      <c r="Y155" s="457"/>
      <c r="Z155" s="457"/>
      <c r="AA155" s="103" t="s">
        <v>2286</v>
      </c>
      <c r="AB155" s="103" t="s">
        <v>2416</v>
      </c>
      <c r="AC155" s="458"/>
      <c r="AD155" s="458"/>
      <c r="AE155" s="458"/>
      <c r="AF155" s="458"/>
      <c r="AG155" s="459"/>
    </row>
    <row r="156" spans="1:33" ht="15.75" thickBot="1">
      <c r="A156" s="395"/>
      <c r="B156" s="398"/>
      <c r="C156" s="395"/>
      <c r="D156" s="410"/>
      <c r="E156" s="415"/>
      <c r="F156" s="398"/>
      <c r="G156" s="411"/>
      <c r="H156" s="398"/>
      <c r="I156" s="398"/>
      <c r="J156" s="398"/>
      <c r="K156" s="390"/>
      <c r="L156" s="390"/>
      <c r="M156" s="390"/>
      <c r="N156" s="390"/>
      <c r="O156" s="390"/>
      <c r="P156" s="395"/>
      <c r="Q156" s="456"/>
      <c r="R156" s="105" t="s">
        <v>2294</v>
      </c>
      <c r="S156" s="389"/>
      <c r="T156" s="389"/>
      <c r="U156" s="389"/>
      <c r="V156" s="389"/>
      <c r="W156" s="457"/>
      <c r="X156" s="457"/>
      <c r="Y156" s="457"/>
      <c r="Z156" s="457"/>
      <c r="AA156" s="103"/>
      <c r="AB156" s="103"/>
      <c r="AC156" s="458"/>
      <c r="AD156" s="458"/>
      <c r="AE156" s="458"/>
      <c r="AF156" s="458"/>
      <c r="AG156" s="459"/>
    </row>
    <row r="157" spans="1:33" ht="30.75" thickBot="1">
      <c r="A157" s="395" t="s">
        <v>2277</v>
      </c>
      <c r="B157" s="398" t="s">
        <v>1814</v>
      </c>
      <c r="C157" s="395" t="s">
        <v>1008</v>
      </c>
      <c r="D157" s="409" t="s">
        <v>1006</v>
      </c>
      <c r="E157" s="414" t="str">
        <f>VLOOKUP(D157,OfertaPlazas!B:D,3,FALSE)</f>
        <v>Trento</v>
      </c>
      <c r="F157" s="398" t="s">
        <v>1006</v>
      </c>
      <c r="G157" s="411">
        <v>999841954</v>
      </c>
      <c r="H157" s="398" t="s">
        <v>76</v>
      </c>
      <c r="I157" s="398" t="s">
        <v>76</v>
      </c>
      <c r="J157" s="398" t="s">
        <v>76</v>
      </c>
      <c r="K157" s="390" t="s">
        <v>75</v>
      </c>
      <c r="L157" s="390" t="s">
        <v>75</v>
      </c>
      <c r="M157" s="390" t="s">
        <v>76</v>
      </c>
      <c r="N157" s="390" t="s">
        <v>75</v>
      </c>
      <c r="O157" s="390" t="s">
        <v>76</v>
      </c>
      <c r="P157" s="395" t="s">
        <v>2297</v>
      </c>
      <c r="Q157" s="456" t="s">
        <v>75</v>
      </c>
      <c r="R157" s="421" t="s">
        <v>2281</v>
      </c>
      <c r="S157" s="389" t="s">
        <v>2297</v>
      </c>
      <c r="T157" s="389" t="s">
        <v>2297</v>
      </c>
      <c r="U157" s="389">
        <v>1</v>
      </c>
      <c r="V157" s="389">
        <v>1</v>
      </c>
      <c r="W157" s="457">
        <v>44331</v>
      </c>
      <c r="X157" s="457">
        <v>44515</v>
      </c>
      <c r="Y157" s="457">
        <v>44348</v>
      </c>
      <c r="Z157" s="457">
        <v>44531</v>
      </c>
      <c r="AA157" s="103" t="s">
        <v>2282</v>
      </c>
      <c r="AB157" s="113" t="s">
        <v>2283</v>
      </c>
      <c r="AC157" s="458"/>
      <c r="AD157" s="458" t="s">
        <v>2284</v>
      </c>
      <c r="AE157" s="458" t="s">
        <v>2285</v>
      </c>
      <c r="AF157" s="458"/>
      <c r="AG157" s="459"/>
    </row>
    <row r="158" spans="1:33" ht="15.75" thickBot="1">
      <c r="A158" s="395"/>
      <c r="B158" s="398"/>
      <c r="C158" s="395"/>
      <c r="D158" s="410"/>
      <c r="E158" s="415"/>
      <c r="F158" s="398"/>
      <c r="G158" s="411"/>
      <c r="H158" s="398"/>
      <c r="I158" s="398"/>
      <c r="J158" s="398"/>
      <c r="K158" s="390"/>
      <c r="L158" s="390"/>
      <c r="M158" s="390"/>
      <c r="N158" s="390"/>
      <c r="O158" s="390"/>
      <c r="P158" s="395"/>
      <c r="Q158" s="456"/>
      <c r="R158" s="421"/>
      <c r="S158" s="389"/>
      <c r="T158" s="389"/>
      <c r="U158" s="389"/>
      <c r="V158" s="389"/>
      <c r="W158" s="457"/>
      <c r="X158" s="457"/>
      <c r="Y158" s="457"/>
      <c r="Z158" s="457"/>
      <c r="AA158" s="103" t="s">
        <v>2286</v>
      </c>
      <c r="AB158" s="113" t="s">
        <v>2287</v>
      </c>
      <c r="AC158" s="458"/>
      <c r="AD158" s="458"/>
      <c r="AE158" s="458"/>
      <c r="AF158" s="458"/>
      <c r="AG158" s="459"/>
    </row>
    <row r="159" spans="1:33" ht="15.75" thickBot="1">
      <c r="A159" s="395" t="s">
        <v>2277</v>
      </c>
      <c r="B159" s="398" t="s">
        <v>1814</v>
      </c>
      <c r="C159" s="432" t="s">
        <v>899</v>
      </c>
      <c r="D159" s="429"/>
      <c r="E159" s="430"/>
      <c r="F159" s="433" t="s">
        <v>897</v>
      </c>
      <c r="G159" s="428"/>
      <c r="H159" s="434" t="s">
        <v>76</v>
      </c>
      <c r="I159" s="434" t="s">
        <v>76</v>
      </c>
      <c r="J159" s="434" t="s">
        <v>76</v>
      </c>
      <c r="K159" s="425" t="s">
        <v>75</v>
      </c>
      <c r="L159" s="425" t="s">
        <v>1462</v>
      </c>
      <c r="M159" s="425" t="s">
        <v>76</v>
      </c>
      <c r="N159" s="425" t="s">
        <v>75</v>
      </c>
      <c r="O159" s="425" t="s">
        <v>76</v>
      </c>
      <c r="P159" s="426" t="s">
        <v>2417</v>
      </c>
      <c r="Q159" s="427" t="s">
        <v>2395</v>
      </c>
      <c r="R159" s="105" t="s">
        <v>2281</v>
      </c>
      <c r="S159" s="424" t="s">
        <v>2290</v>
      </c>
      <c r="T159" s="424" t="s">
        <v>2290</v>
      </c>
      <c r="U159" s="424">
        <v>1</v>
      </c>
      <c r="V159" s="424">
        <v>1</v>
      </c>
      <c r="W159" s="457">
        <v>44331</v>
      </c>
      <c r="X159" s="457">
        <v>44515</v>
      </c>
      <c r="Y159" s="457">
        <v>44348</v>
      </c>
      <c r="Z159" s="457">
        <v>44531</v>
      </c>
      <c r="AA159" s="103" t="s">
        <v>2282</v>
      </c>
      <c r="AB159" s="103" t="s">
        <v>2283</v>
      </c>
      <c r="AC159" s="424"/>
      <c r="AD159" s="458" t="s">
        <v>2284</v>
      </c>
      <c r="AE159" s="458" t="s">
        <v>2285</v>
      </c>
      <c r="AF159" s="424"/>
      <c r="AG159" s="425"/>
    </row>
    <row r="160" spans="1:33" ht="15.75" thickBot="1">
      <c r="A160" s="395"/>
      <c r="B160" s="398"/>
      <c r="C160" s="432"/>
      <c r="D160" s="429"/>
      <c r="E160" s="430"/>
      <c r="F160" s="433"/>
      <c r="G160" s="428"/>
      <c r="H160" s="434"/>
      <c r="I160" s="434"/>
      <c r="J160" s="434"/>
      <c r="K160" s="425"/>
      <c r="L160" s="425"/>
      <c r="M160" s="425"/>
      <c r="N160" s="425"/>
      <c r="O160" s="425"/>
      <c r="P160" s="426"/>
      <c r="Q160" s="427"/>
      <c r="R160" s="105" t="s">
        <v>2301</v>
      </c>
      <c r="S160" s="424"/>
      <c r="T160" s="424"/>
      <c r="U160" s="424"/>
      <c r="V160" s="424"/>
      <c r="W160" s="457"/>
      <c r="X160" s="457"/>
      <c r="Y160" s="457"/>
      <c r="Z160" s="457"/>
      <c r="AA160" s="103" t="s">
        <v>2286</v>
      </c>
      <c r="AB160" s="103" t="s">
        <v>2287</v>
      </c>
      <c r="AC160" s="424"/>
      <c r="AD160" s="458"/>
      <c r="AE160" s="458"/>
      <c r="AF160" s="424"/>
      <c r="AG160" s="425"/>
    </row>
    <row r="161" spans="1:33" ht="15.75" thickBot="1">
      <c r="A161" s="395"/>
      <c r="B161" s="398"/>
      <c r="C161" s="432"/>
      <c r="D161" s="429"/>
      <c r="E161" s="431"/>
      <c r="F161" s="433"/>
      <c r="G161" s="428"/>
      <c r="H161" s="434"/>
      <c r="I161" s="434"/>
      <c r="J161" s="434"/>
      <c r="K161" s="425"/>
      <c r="L161" s="425"/>
      <c r="M161" s="425"/>
      <c r="N161" s="425"/>
      <c r="O161" s="425"/>
      <c r="P161" s="426"/>
      <c r="Q161" s="427"/>
      <c r="R161" s="105" t="s">
        <v>2294</v>
      </c>
      <c r="S161" s="424"/>
      <c r="T161" s="424"/>
      <c r="U161" s="424"/>
      <c r="V161" s="424"/>
      <c r="W161" s="457"/>
      <c r="X161" s="457"/>
      <c r="Y161" s="457"/>
      <c r="Z161" s="457"/>
      <c r="AA161" s="103"/>
      <c r="AB161" s="103"/>
      <c r="AC161" s="424"/>
      <c r="AD161" s="458"/>
      <c r="AE161" s="458"/>
      <c r="AF161" s="424"/>
      <c r="AG161" s="425"/>
    </row>
    <row r="162" spans="1:33" ht="15.75" thickBot="1">
      <c r="A162" s="395" t="s">
        <v>2277</v>
      </c>
      <c r="B162" s="398" t="s">
        <v>2418</v>
      </c>
      <c r="C162" s="395" t="s">
        <v>1027</v>
      </c>
      <c r="D162" s="409" t="s">
        <v>1025</v>
      </c>
      <c r="E162" s="414" t="str">
        <f>VLOOKUP(D162,OfertaPlazas!B:D,3,FALSE)</f>
        <v>Skopje</v>
      </c>
      <c r="F162" s="398" t="s">
        <v>1026</v>
      </c>
      <c r="G162" s="411">
        <v>999588493</v>
      </c>
      <c r="H162" s="398" t="s">
        <v>76</v>
      </c>
      <c r="I162" s="398" t="s">
        <v>76</v>
      </c>
      <c r="J162" s="398" t="s">
        <v>76</v>
      </c>
      <c r="K162" s="390" t="s">
        <v>75</v>
      </c>
      <c r="L162" s="390" t="s">
        <v>75</v>
      </c>
      <c r="M162" s="390" t="s">
        <v>76</v>
      </c>
      <c r="N162" s="390" t="s">
        <v>75</v>
      </c>
      <c r="O162" s="390" t="s">
        <v>76</v>
      </c>
      <c r="P162" s="395" t="s">
        <v>2291</v>
      </c>
      <c r="Q162" s="456" t="s">
        <v>75</v>
      </c>
      <c r="R162" s="456" t="s">
        <v>2294</v>
      </c>
      <c r="S162" s="389" t="s">
        <v>2291</v>
      </c>
      <c r="T162" s="389" t="s">
        <v>2291</v>
      </c>
      <c r="U162" s="389">
        <v>1</v>
      </c>
      <c r="V162" s="389">
        <v>1</v>
      </c>
      <c r="W162" s="457">
        <v>44331</v>
      </c>
      <c r="X162" s="457">
        <v>44515</v>
      </c>
      <c r="Y162" s="457">
        <v>44348</v>
      </c>
      <c r="Z162" s="457">
        <v>44531</v>
      </c>
      <c r="AA162" s="103" t="s">
        <v>2282</v>
      </c>
      <c r="AB162" s="103" t="s">
        <v>2283</v>
      </c>
      <c r="AC162" s="458"/>
      <c r="AD162" s="458" t="s">
        <v>2284</v>
      </c>
      <c r="AE162" s="458" t="s">
        <v>2285</v>
      </c>
      <c r="AF162" s="458"/>
      <c r="AG162" s="459"/>
    </row>
    <row r="163" spans="1:33" ht="15.75" thickBot="1">
      <c r="A163" s="395"/>
      <c r="B163" s="398"/>
      <c r="C163" s="395"/>
      <c r="D163" s="410"/>
      <c r="E163" s="415"/>
      <c r="F163" s="398"/>
      <c r="G163" s="411"/>
      <c r="H163" s="398"/>
      <c r="I163" s="398"/>
      <c r="J163" s="398"/>
      <c r="K163" s="390"/>
      <c r="L163" s="390"/>
      <c r="M163" s="390"/>
      <c r="N163" s="390"/>
      <c r="O163" s="390"/>
      <c r="P163" s="395"/>
      <c r="Q163" s="456"/>
      <c r="R163" s="456"/>
      <c r="S163" s="389"/>
      <c r="T163" s="389"/>
      <c r="U163" s="389"/>
      <c r="V163" s="389"/>
      <c r="W163" s="457"/>
      <c r="X163" s="457"/>
      <c r="Y163" s="457"/>
      <c r="Z163" s="457"/>
      <c r="AA163" s="103" t="s">
        <v>2286</v>
      </c>
      <c r="AB163" s="103" t="s">
        <v>2419</v>
      </c>
      <c r="AC163" s="458"/>
      <c r="AD163" s="458"/>
      <c r="AE163" s="458"/>
      <c r="AF163" s="458"/>
      <c r="AG163" s="459"/>
    </row>
    <row r="164" spans="1:33" ht="15.75" thickBot="1">
      <c r="A164" s="395" t="s">
        <v>2277</v>
      </c>
      <c r="B164" s="398" t="s">
        <v>2420</v>
      </c>
      <c r="C164" s="395" t="s">
        <v>1036</v>
      </c>
      <c r="D164" s="409" t="s">
        <v>2421</v>
      </c>
      <c r="E164" s="414" t="e">
        <f>VLOOKUP(D164,OfertaPlazas!B:D,3,FALSE)</f>
        <v>#N/A</v>
      </c>
      <c r="F164" s="398" t="s">
        <v>2422</v>
      </c>
      <c r="G164" s="411">
        <v>949613317</v>
      </c>
      <c r="H164" s="398" t="s">
        <v>76</v>
      </c>
      <c r="I164" s="398" t="s">
        <v>76</v>
      </c>
      <c r="J164" s="398" t="s">
        <v>76</v>
      </c>
      <c r="K164" s="390" t="s">
        <v>75</v>
      </c>
      <c r="L164" s="390" t="s">
        <v>75</v>
      </c>
      <c r="M164" s="390" t="s">
        <v>76</v>
      </c>
      <c r="N164" s="390" t="s">
        <v>75</v>
      </c>
      <c r="O164" s="390" t="s">
        <v>76</v>
      </c>
      <c r="P164" s="395" t="s">
        <v>2291</v>
      </c>
      <c r="Q164" s="456" t="s">
        <v>75</v>
      </c>
      <c r="R164" s="421" t="s">
        <v>2281</v>
      </c>
      <c r="S164" s="389" t="s">
        <v>2291</v>
      </c>
      <c r="T164" s="389" t="s">
        <v>2291</v>
      </c>
      <c r="U164" s="389">
        <v>1</v>
      </c>
      <c r="V164" s="389">
        <v>1</v>
      </c>
      <c r="W164" s="457">
        <v>44331</v>
      </c>
      <c r="X164" s="457">
        <v>44515</v>
      </c>
      <c r="Y164" s="457">
        <v>44348</v>
      </c>
      <c r="Z164" s="457">
        <v>44531</v>
      </c>
      <c r="AA164" s="103" t="s">
        <v>2282</v>
      </c>
      <c r="AB164" s="103" t="s">
        <v>2283</v>
      </c>
      <c r="AC164" s="458"/>
      <c r="AD164" s="458" t="s">
        <v>2284</v>
      </c>
      <c r="AE164" s="458" t="s">
        <v>2285</v>
      </c>
      <c r="AF164" s="458"/>
      <c r="AG164" s="459"/>
    </row>
    <row r="165" spans="1:33" ht="15.75" thickBot="1">
      <c r="A165" s="395"/>
      <c r="B165" s="398"/>
      <c r="C165" s="395"/>
      <c r="D165" s="410"/>
      <c r="E165" s="415"/>
      <c r="F165" s="398"/>
      <c r="G165" s="411"/>
      <c r="H165" s="398"/>
      <c r="I165" s="398"/>
      <c r="J165" s="398"/>
      <c r="K165" s="390"/>
      <c r="L165" s="390"/>
      <c r="M165" s="390"/>
      <c r="N165" s="390"/>
      <c r="O165" s="390"/>
      <c r="P165" s="395"/>
      <c r="Q165" s="456"/>
      <c r="R165" s="421"/>
      <c r="S165" s="389"/>
      <c r="T165" s="389"/>
      <c r="U165" s="389"/>
      <c r="V165" s="389"/>
      <c r="W165" s="457"/>
      <c r="X165" s="457"/>
      <c r="Y165" s="457"/>
      <c r="Z165" s="457"/>
      <c r="AA165" s="103" t="s">
        <v>2286</v>
      </c>
      <c r="AB165" s="103" t="s">
        <v>2423</v>
      </c>
      <c r="AC165" s="458"/>
      <c r="AD165" s="458"/>
      <c r="AE165" s="458"/>
      <c r="AF165" s="458"/>
      <c r="AG165" s="459"/>
    </row>
    <row r="166" spans="1:33" ht="15.75" thickBot="1">
      <c r="A166" s="395" t="s">
        <v>2277</v>
      </c>
      <c r="B166" s="398" t="s">
        <v>2420</v>
      </c>
      <c r="C166" s="395" t="s">
        <v>1045</v>
      </c>
      <c r="D166" s="409" t="s">
        <v>1043</v>
      </c>
      <c r="E166" s="414" t="str">
        <f>VLOOKUP(D166,OfertaPlazas!B:D,3,FALSE)</f>
        <v>Trondheim</v>
      </c>
      <c r="F166" s="398" t="s">
        <v>1044</v>
      </c>
      <c r="G166" s="411">
        <v>999977851</v>
      </c>
      <c r="H166" s="398" t="s">
        <v>76</v>
      </c>
      <c r="I166" s="398" t="s">
        <v>76</v>
      </c>
      <c r="J166" s="398" t="s">
        <v>76</v>
      </c>
      <c r="K166" s="390" t="s">
        <v>75</v>
      </c>
      <c r="L166" s="390" t="s">
        <v>75</v>
      </c>
      <c r="M166" s="390" t="s">
        <v>76</v>
      </c>
      <c r="N166" s="390" t="s">
        <v>75</v>
      </c>
      <c r="O166" s="390" t="s">
        <v>76</v>
      </c>
      <c r="P166" s="395" t="s">
        <v>2290</v>
      </c>
      <c r="Q166" s="456" t="s">
        <v>75</v>
      </c>
      <c r="R166" s="421" t="s">
        <v>2281</v>
      </c>
      <c r="S166" s="389" t="s">
        <v>2291</v>
      </c>
      <c r="T166" s="389" t="s">
        <v>2291</v>
      </c>
      <c r="U166" s="389">
        <v>1</v>
      </c>
      <c r="V166" s="389">
        <v>1</v>
      </c>
      <c r="W166" s="457">
        <v>44331</v>
      </c>
      <c r="X166" s="457">
        <v>44515</v>
      </c>
      <c r="Y166" s="457">
        <v>44348</v>
      </c>
      <c r="Z166" s="457">
        <v>44531</v>
      </c>
      <c r="AA166" s="103" t="s">
        <v>2282</v>
      </c>
      <c r="AB166" s="103" t="s">
        <v>2283</v>
      </c>
      <c r="AC166" s="458"/>
      <c r="AD166" s="458" t="s">
        <v>2284</v>
      </c>
      <c r="AE166" s="458" t="s">
        <v>2285</v>
      </c>
      <c r="AF166" s="458"/>
      <c r="AG166" s="459"/>
    </row>
    <row r="167" spans="1:33" ht="15.75" thickBot="1">
      <c r="A167" s="395"/>
      <c r="B167" s="398"/>
      <c r="C167" s="395"/>
      <c r="D167" s="410"/>
      <c r="E167" s="415"/>
      <c r="F167" s="398"/>
      <c r="G167" s="411"/>
      <c r="H167" s="398"/>
      <c r="I167" s="398"/>
      <c r="J167" s="398"/>
      <c r="K167" s="390"/>
      <c r="L167" s="390"/>
      <c r="M167" s="390"/>
      <c r="N167" s="390"/>
      <c r="O167" s="390"/>
      <c r="P167" s="395"/>
      <c r="Q167" s="456"/>
      <c r="R167" s="421"/>
      <c r="S167" s="389"/>
      <c r="T167" s="389"/>
      <c r="U167" s="389"/>
      <c r="V167" s="389"/>
      <c r="W167" s="457"/>
      <c r="X167" s="457"/>
      <c r="Y167" s="457"/>
      <c r="Z167" s="457"/>
      <c r="AA167" s="103" t="s">
        <v>2286</v>
      </c>
      <c r="AB167" s="103" t="s">
        <v>2424</v>
      </c>
      <c r="AC167" s="458"/>
      <c r="AD167" s="458"/>
      <c r="AE167" s="458"/>
      <c r="AF167" s="458"/>
      <c r="AG167" s="459"/>
    </row>
    <row r="168" spans="1:33" ht="15.75" thickBot="1">
      <c r="A168" s="395" t="s">
        <v>2277</v>
      </c>
      <c r="B168" s="398" t="s">
        <v>2425</v>
      </c>
      <c r="C168" s="395" t="s">
        <v>1848</v>
      </c>
      <c r="D168" s="409" t="s">
        <v>1847</v>
      </c>
      <c r="E168" s="414" t="e">
        <f>VLOOKUP(D168,OfertaPlazas!B:D,3,FALSE)</f>
        <v>#N/A</v>
      </c>
      <c r="F168" s="398" t="s">
        <v>1847</v>
      </c>
      <c r="G168" s="411">
        <v>999977366</v>
      </c>
      <c r="H168" s="398" t="s">
        <v>76</v>
      </c>
      <c r="I168" s="398" t="s">
        <v>76</v>
      </c>
      <c r="J168" s="398" t="s">
        <v>76</v>
      </c>
      <c r="K168" s="390" t="s">
        <v>75</v>
      </c>
      <c r="L168" s="390" t="s">
        <v>75</v>
      </c>
      <c r="M168" s="390" t="s">
        <v>76</v>
      </c>
      <c r="N168" s="390" t="s">
        <v>75</v>
      </c>
      <c r="O168" s="390" t="s">
        <v>76</v>
      </c>
      <c r="P168" s="395" t="s">
        <v>2426</v>
      </c>
      <c r="Q168" s="456" t="s">
        <v>75</v>
      </c>
      <c r="R168" s="105" t="s">
        <v>2281</v>
      </c>
      <c r="S168" s="389" t="s">
        <v>2291</v>
      </c>
      <c r="T168" s="389" t="s">
        <v>2291</v>
      </c>
      <c r="U168" s="389">
        <v>1</v>
      </c>
      <c r="V168" s="389">
        <v>1</v>
      </c>
      <c r="W168" s="457">
        <v>44331</v>
      </c>
      <c r="X168" s="457">
        <v>44515</v>
      </c>
      <c r="Y168" s="457">
        <v>44348</v>
      </c>
      <c r="Z168" s="457">
        <v>44531</v>
      </c>
      <c r="AA168" s="103" t="s">
        <v>2282</v>
      </c>
      <c r="AB168" s="103" t="s">
        <v>2283</v>
      </c>
      <c r="AC168" s="458"/>
      <c r="AD168" s="458" t="s">
        <v>2284</v>
      </c>
      <c r="AE168" s="458" t="s">
        <v>2285</v>
      </c>
      <c r="AF168" s="458"/>
      <c r="AG168" s="459"/>
    </row>
    <row r="169" spans="1:33" ht="15.75" thickBot="1">
      <c r="A169" s="395"/>
      <c r="B169" s="398"/>
      <c r="C169" s="395"/>
      <c r="D169" s="410"/>
      <c r="E169" s="415"/>
      <c r="F169" s="398"/>
      <c r="G169" s="411"/>
      <c r="H169" s="398"/>
      <c r="I169" s="398"/>
      <c r="J169" s="398"/>
      <c r="K169" s="390"/>
      <c r="L169" s="390"/>
      <c r="M169" s="390"/>
      <c r="N169" s="390"/>
      <c r="O169" s="390"/>
      <c r="P169" s="395"/>
      <c r="Q169" s="456"/>
      <c r="R169" s="105" t="s">
        <v>2303</v>
      </c>
      <c r="S169" s="389"/>
      <c r="T169" s="389"/>
      <c r="U169" s="389"/>
      <c r="V169" s="389"/>
      <c r="W169" s="457"/>
      <c r="X169" s="457"/>
      <c r="Y169" s="457"/>
      <c r="Z169" s="457"/>
      <c r="AA169" s="103" t="s">
        <v>2286</v>
      </c>
      <c r="AB169" s="103" t="s">
        <v>2427</v>
      </c>
      <c r="AC169" s="458"/>
      <c r="AD169" s="458"/>
      <c r="AE169" s="458"/>
      <c r="AF169" s="458"/>
      <c r="AG169" s="459"/>
    </row>
    <row r="170" spans="1:33" ht="15.75" thickBot="1">
      <c r="A170" s="395" t="s">
        <v>2277</v>
      </c>
      <c r="B170" s="398" t="s">
        <v>2425</v>
      </c>
      <c r="C170" s="395" t="s">
        <v>1055</v>
      </c>
      <c r="D170" s="409" t="s">
        <v>1054</v>
      </c>
      <c r="E170" s="414" t="str">
        <f>VLOOKUP(D170,OfertaPlazas!B:D,3,FALSE)</f>
        <v>Eindhoven</v>
      </c>
      <c r="F170" s="398" t="s">
        <v>1054</v>
      </c>
      <c r="G170" s="411">
        <v>999977269</v>
      </c>
      <c r="H170" s="398" t="s">
        <v>76</v>
      </c>
      <c r="I170" s="398" t="s">
        <v>76</v>
      </c>
      <c r="J170" s="398" t="s">
        <v>76</v>
      </c>
      <c r="K170" s="390" t="s">
        <v>75</v>
      </c>
      <c r="L170" s="390" t="s">
        <v>75</v>
      </c>
      <c r="M170" s="390" t="s">
        <v>76</v>
      </c>
      <c r="N170" s="390" t="s">
        <v>75</v>
      </c>
      <c r="O170" s="390" t="s">
        <v>76</v>
      </c>
      <c r="P170" s="395" t="s">
        <v>2291</v>
      </c>
      <c r="Q170" s="456" t="s">
        <v>75</v>
      </c>
      <c r="R170" s="105" t="s">
        <v>2281</v>
      </c>
      <c r="S170" s="389" t="s">
        <v>2291</v>
      </c>
      <c r="T170" s="389" t="s">
        <v>2291</v>
      </c>
      <c r="U170" s="389">
        <v>1</v>
      </c>
      <c r="V170" s="389">
        <v>1</v>
      </c>
      <c r="W170" s="457">
        <v>44331</v>
      </c>
      <c r="X170" s="457">
        <v>44515</v>
      </c>
      <c r="Y170" s="457">
        <v>44348</v>
      </c>
      <c r="Z170" s="457">
        <v>44531</v>
      </c>
      <c r="AA170" s="103" t="s">
        <v>2282</v>
      </c>
      <c r="AB170" s="103" t="s">
        <v>2283</v>
      </c>
      <c r="AC170" s="458"/>
      <c r="AD170" s="458" t="s">
        <v>2284</v>
      </c>
      <c r="AE170" s="458" t="s">
        <v>2285</v>
      </c>
      <c r="AF170" s="458"/>
      <c r="AG170" s="459"/>
    </row>
    <row r="171" spans="1:33" ht="15.75" thickBot="1">
      <c r="A171" s="395"/>
      <c r="B171" s="398"/>
      <c r="C171" s="395"/>
      <c r="D171" s="410"/>
      <c r="E171" s="415"/>
      <c r="F171" s="398"/>
      <c r="G171" s="411"/>
      <c r="H171" s="398"/>
      <c r="I171" s="398"/>
      <c r="J171" s="398"/>
      <c r="K171" s="390"/>
      <c r="L171" s="390"/>
      <c r="M171" s="390"/>
      <c r="N171" s="390"/>
      <c r="O171" s="390"/>
      <c r="P171" s="395"/>
      <c r="Q171" s="456"/>
      <c r="R171" s="105" t="s">
        <v>2301</v>
      </c>
      <c r="S171" s="389"/>
      <c r="T171" s="389"/>
      <c r="U171" s="389"/>
      <c r="V171" s="389"/>
      <c r="W171" s="457"/>
      <c r="X171" s="457"/>
      <c r="Y171" s="457"/>
      <c r="Z171" s="457"/>
      <c r="AA171" s="103" t="s">
        <v>2286</v>
      </c>
      <c r="AB171" s="103" t="s">
        <v>2428</v>
      </c>
      <c r="AC171" s="458"/>
      <c r="AD171" s="458"/>
      <c r="AE171" s="458"/>
      <c r="AF171" s="458"/>
      <c r="AG171" s="459"/>
    </row>
    <row r="172" spans="1:33" ht="15.75" thickBot="1">
      <c r="A172" s="395" t="s">
        <v>2277</v>
      </c>
      <c r="B172" s="398" t="s">
        <v>1818</v>
      </c>
      <c r="C172" s="395" t="s">
        <v>2429</v>
      </c>
      <c r="D172" s="409" t="s">
        <v>2430</v>
      </c>
      <c r="E172" s="414" t="e">
        <f>VLOOKUP(D172,OfertaPlazas!B:D,3,FALSE)</f>
        <v>#N/A</v>
      </c>
      <c r="F172" s="398" t="s">
        <v>2431</v>
      </c>
      <c r="G172" s="411">
        <v>999844573</v>
      </c>
      <c r="H172" s="398" t="s">
        <v>76</v>
      </c>
      <c r="I172" s="398" t="s">
        <v>76</v>
      </c>
      <c r="J172" s="398" t="s">
        <v>76</v>
      </c>
      <c r="K172" s="390" t="s">
        <v>75</v>
      </c>
      <c r="L172" s="390" t="s">
        <v>75</v>
      </c>
      <c r="M172" s="390" t="s">
        <v>76</v>
      </c>
      <c r="N172" s="390" t="s">
        <v>75</v>
      </c>
      <c r="O172" s="390" t="s">
        <v>76</v>
      </c>
      <c r="P172" s="395" t="s">
        <v>2291</v>
      </c>
      <c r="Q172" s="456" t="s">
        <v>75</v>
      </c>
      <c r="R172" s="105" t="s">
        <v>2281</v>
      </c>
      <c r="S172" s="389" t="s">
        <v>2291</v>
      </c>
      <c r="T172" s="389" t="s">
        <v>2291</v>
      </c>
      <c r="U172" s="389">
        <v>1</v>
      </c>
      <c r="V172" s="389">
        <v>1</v>
      </c>
      <c r="W172" s="457">
        <v>44331</v>
      </c>
      <c r="X172" s="457">
        <v>44515</v>
      </c>
      <c r="Y172" s="457">
        <v>44348</v>
      </c>
      <c r="Z172" s="457">
        <v>44531</v>
      </c>
      <c r="AA172" s="103" t="s">
        <v>2282</v>
      </c>
      <c r="AB172" s="103" t="s">
        <v>2283</v>
      </c>
      <c r="AC172" s="458"/>
      <c r="AD172" s="458" t="s">
        <v>2284</v>
      </c>
      <c r="AE172" s="458" t="s">
        <v>2285</v>
      </c>
      <c r="AF172" s="458"/>
      <c r="AG172" s="459"/>
    </row>
    <row r="173" spans="1:33" ht="15.75" thickBot="1">
      <c r="A173" s="395"/>
      <c r="B173" s="398"/>
      <c r="C173" s="395"/>
      <c r="D173" s="410"/>
      <c r="E173" s="415"/>
      <c r="F173" s="398"/>
      <c r="G173" s="411"/>
      <c r="H173" s="398"/>
      <c r="I173" s="398"/>
      <c r="J173" s="398"/>
      <c r="K173" s="390"/>
      <c r="L173" s="390"/>
      <c r="M173" s="390"/>
      <c r="N173" s="390"/>
      <c r="O173" s="390"/>
      <c r="P173" s="395"/>
      <c r="Q173" s="456"/>
      <c r="R173" s="105" t="s">
        <v>2301</v>
      </c>
      <c r="S173" s="389"/>
      <c r="T173" s="389"/>
      <c r="U173" s="389"/>
      <c r="V173" s="389"/>
      <c r="W173" s="457"/>
      <c r="X173" s="457"/>
      <c r="Y173" s="457"/>
      <c r="Z173" s="457"/>
      <c r="AA173" s="103" t="s">
        <v>2286</v>
      </c>
      <c r="AB173" s="103" t="s">
        <v>2432</v>
      </c>
      <c r="AC173" s="458"/>
      <c r="AD173" s="458"/>
      <c r="AE173" s="458"/>
      <c r="AF173" s="458"/>
      <c r="AG173" s="459"/>
    </row>
    <row r="174" spans="1:33" ht="15.75" thickBot="1">
      <c r="A174" s="395" t="s">
        <v>2277</v>
      </c>
      <c r="B174" s="398" t="s">
        <v>1818</v>
      </c>
      <c r="C174" s="395" t="s">
        <v>2429</v>
      </c>
      <c r="D174" s="409" t="s">
        <v>1129</v>
      </c>
      <c r="E174" s="414" t="str">
        <f>VLOOKUP(D174,OfertaPlazas!B:D,3,FALSE)</f>
        <v>Cracovia</v>
      </c>
      <c r="F174" s="398" t="s">
        <v>1130</v>
      </c>
      <c r="G174" s="411">
        <v>999516519</v>
      </c>
      <c r="H174" s="398" t="s">
        <v>76</v>
      </c>
      <c r="I174" s="398" t="s">
        <v>76</v>
      </c>
      <c r="J174" s="398" t="s">
        <v>76</v>
      </c>
      <c r="K174" s="390" t="s">
        <v>75</v>
      </c>
      <c r="L174" s="390" t="s">
        <v>75</v>
      </c>
      <c r="M174" s="390" t="s">
        <v>76</v>
      </c>
      <c r="N174" s="390" t="s">
        <v>75</v>
      </c>
      <c r="O174" s="390" t="s">
        <v>76</v>
      </c>
      <c r="P174" s="395" t="s">
        <v>2433</v>
      </c>
      <c r="Q174" s="456" t="s">
        <v>75</v>
      </c>
      <c r="R174" s="421" t="s">
        <v>2281</v>
      </c>
      <c r="S174" s="389" t="s">
        <v>2434</v>
      </c>
      <c r="T174" s="389" t="s">
        <v>2434</v>
      </c>
      <c r="U174" s="389">
        <v>1</v>
      </c>
      <c r="V174" s="389">
        <v>1</v>
      </c>
      <c r="W174" s="457">
        <v>44331</v>
      </c>
      <c r="X174" s="457">
        <v>44515</v>
      </c>
      <c r="Y174" s="457">
        <v>44348</v>
      </c>
      <c r="Z174" s="457">
        <v>44531</v>
      </c>
      <c r="AA174" s="103" t="s">
        <v>2282</v>
      </c>
      <c r="AB174" s="103" t="s">
        <v>2283</v>
      </c>
      <c r="AC174" s="458"/>
      <c r="AD174" s="458" t="s">
        <v>2284</v>
      </c>
      <c r="AE174" s="458" t="s">
        <v>2285</v>
      </c>
      <c r="AF174" s="458"/>
      <c r="AG174" s="459"/>
    </row>
    <row r="175" spans="1:33" ht="15.75" thickBot="1">
      <c r="A175" s="395"/>
      <c r="B175" s="398"/>
      <c r="C175" s="395"/>
      <c r="D175" s="410"/>
      <c r="E175" s="415"/>
      <c r="F175" s="398"/>
      <c r="G175" s="411"/>
      <c r="H175" s="398"/>
      <c r="I175" s="398"/>
      <c r="J175" s="398"/>
      <c r="K175" s="390"/>
      <c r="L175" s="390"/>
      <c r="M175" s="390"/>
      <c r="N175" s="390"/>
      <c r="O175" s="390"/>
      <c r="P175" s="395"/>
      <c r="Q175" s="456"/>
      <c r="R175" s="421"/>
      <c r="S175" s="389"/>
      <c r="T175" s="389"/>
      <c r="U175" s="389"/>
      <c r="V175" s="389"/>
      <c r="W175" s="457"/>
      <c r="X175" s="457"/>
      <c r="Y175" s="457"/>
      <c r="Z175" s="457"/>
      <c r="AA175" s="103" t="s">
        <v>2286</v>
      </c>
      <c r="AB175" s="103" t="s">
        <v>2435</v>
      </c>
      <c r="AC175" s="458"/>
      <c r="AD175" s="458"/>
      <c r="AE175" s="458"/>
      <c r="AF175" s="458"/>
      <c r="AG175" s="459"/>
    </row>
    <row r="176" spans="1:33" ht="15.75" thickBot="1">
      <c r="A176" s="395" t="s">
        <v>2277</v>
      </c>
      <c r="B176" s="398" t="s">
        <v>1818</v>
      </c>
      <c r="C176" s="395" t="s">
        <v>2436</v>
      </c>
      <c r="D176" s="409" t="s">
        <v>1138</v>
      </c>
      <c r="E176" s="414" t="str">
        <f>VLOOKUP(D176,OfertaPlazas!B:D,3,FALSE)</f>
        <v>Lodz</v>
      </c>
      <c r="F176" s="398" t="s">
        <v>2437</v>
      </c>
      <c r="G176" s="411">
        <v>999886671</v>
      </c>
      <c r="H176" s="398" t="s">
        <v>76</v>
      </c>
      <c r="I176" s="398" t="s">
        <v>76</v>
      </c>
      <c r="J176" s="398" t="s">
        <v>76</v>
      </c>
      <c r="K176" s="390" t="s">
        <v>75</v>
      </c>
      <c r="L176" s="390" t="s">
        <v>75</v>
      </c>
      <c r="M176" s="390" t="s">
        <v>76</v>
      </c>
      <c r="N176" s="390" t="s">
        <v>75</v>
      </c>
      <c r="O176" s="390" t="s">
        <v>76</v>
      </c>
      <c r="P176" s="395" t="s">
        <v>2291</v>
      </c>
      <c r="Q176" s="456" t="s">
        <v>75</v>
      </c>
      <c r="R176" s="421" t="s">
        <v>2281</v>
      </c>
      <c r="S176" s="389" t="s">
        <v>2291</v>
      </c>
      <c r="T176" s="389" t="s">
        <v>2291</v>
      </c>
      <c r="U176" s="389">
        <v>1</v>
      </c>
      <c r="V176" s="389">
        <v>1</v>
      </c>
      <c r="W176" s="457">
        <v>44331</v>
      </c>
      <c r="X176" s="457">
        <v>44515</v>
      </c>
      <c r="Y176" s="457">
        <v>44348</v>
      </c>
      <c r="Z176" s="457">
        <v>44531</v>
      </c>
      <c r="AA176" s="103" t="s">
        <v>2282</v>
      </c>
      <c r="AB176" s="103" t="s">
        <v>2283</v>
      </c>
      <c r="AC176" s="458"/>
      <c r="AD176" s="458" t="s">
        <v>2284</v>
      </c>
      <c r="AE176" s="458" t="s">
        <v>2285</v>
      </c>
      <c r="AF176" s="458"/>
      <c r="AG176" s="459"/>
    </row>
    <row r="177" spans="1:33" ht="15.75" thickBot="1">
      <c r="A177" s="395"/>
      <c r="B177" s="398"/>
      <c r="C177" s="395"/>
      <c r="D177" s="410"/>
      <c r="E177" s="415"/>
      <c r="F177" s="398"/>
      <c r="G177" s="411"/>
      <c r="H177" s="398"/>
      <c r="I177" s="398"/>
      <c r="J177" s="398"/>
      <c r="K177" s="390"/>
      <c r="L177" s="390"/>
      <c r="M177" s="390"/>
      <c r="N177" s="390"/>
      <c r="O177" s="390"/>
      <c r="P177" s="395"/>
      <c r="Q177" s="456"/>
      <c r="R177" s="421"/>
      <c r="S177" s="389"/>
      <c r="T177" s="389"/>
      <c r="U177" s="389"/>
      <c r="V177" s="389"/>
      <c r="W177" s="457"/>
      <c r="X177" s="457"/>
      <c r="Y177" s="457"/>
      <c r="Z177" s="457"/>
      <c r="AA177" s="103" t="s">
        <v>2286</v>
      </c>
      <c r="AB177" s="103" t="s">
        <v>2438</v>
      </c>
      <c r="AC177" s="458"/>
      <c r="AD177" s="458"/>
      <c r="AE177" s="458"/>
      <c r="AF177" s="458"/>
      <c r="AG177" s="459"/>
    </row>
    <row r="178" spans="1:33" ht="15.75" thickBot="1">
      <c r="A178" s="395" t="s">
        <v>2277</v>
      </c>
      <c r="B178" s="398" t="s">
        <v>1818</v>
      </c>
      <c r="C178" s="395" t="s">
        <v>1148</v>
      </c>
      <c r="D178" s="409" t="s">
        <v>1146</v>
      </c>
      <c r="E178" s="414" t="str">
        <f>VLOOKUP(D178,OfertaPlazas!B:D,3,FALSE)</f>
        <v>Poznan</v>
      </c>
      <c r="F178" s="398" t="s">
        <v>2439</v>
      </c>
      <c r="G178" s="411">
        <v>999659691</v>
      </c>
      <c r="H178" s="398" t="s">
        <v>76</v>
      </c>
      <c r="I178" s="398" t="s">
        <v>76</v>
      </c>
      <c r="J178" s="398" t="s">
        <v>76</v>
      </c>
      <c r="K178" s="390" t="s">
        <v>75</v>
      </c>
      <c r="L178" s="390" t="s">
        <v>75</v>
      </c>
      <c r="M178" s="390" t="s">
        <v>76</v>
      </c>
      <c r="N178" s="390" t="s">
        <v>75</v>
      </c>
      <c r="O178" s="390" t="s">
        <v>76</v>
      </c>
      <c r="P178" s="395" t="s">
        <v>2290</v>
      </c>
      <c r="Q178" s="456" t="s">
        <v>75</v>
      </c>
      <c r="R178" s="105" t="s">
        <v>2281</v>
      </c>
      <c r="S178" s="389" t="s">
        <v>2291</v>
      </c>
      <c r="T178" s="389" t="s">
        <v>2291</v>
      </c>
      <c r="U178" s="389">
        <v>1</v>
      </c>
      <c r="V178" s="389">
        <v>1</v>
      </c>
      <c r="W178" s="457">
        <v>44331</v>
      </c>
      <c r="X178" s="457">
        <v>44515</v>
      </c>
      <c r="Y178" s="457">
        <v>44348</v>
      </c>
      <c r="Z178" s="457">
        <v>44531</v>
      </c>
      <c r="AA178" s="103" t="s">
        <v>2282</v>
      </c>
      <c r="AB178" s="103" t="s">
        <v>2283</v>
      </c>
      <c r="AC178" s="458"/>
      <c r="AD178" s="458" t="s">
        <v>2284</v>
      </c>
      <c r="AE178" s="458" t="s">
        <v>2285</v>
      </c>
      <c r="AF178" s="458"/>
      <c r="AG178" s="459"/>
    </row>
    <row r="179" spans="1:33" ht="15.75" thickBot="1">
      <c r="A179" s="395"/>
      <c r="B179" s="398"/>
      <c r="C179" s="395"/>
      <c r="D179" s="410"/>
      <c r="E179" s="415"/>
      <c r="F179" s="398"/>
      <c r="G179" s="411"/>
      <c r="H179" s="398"/>
      <c r="I179" s="398"/>
      <c r="J179" s="398"/>
      <c r="K179" s="390"/>
      <c r="L179" s="390"/>
      <c r="M179" s="390"/>
      <c r="N179" s="390"/>
      <c r="O179" s="390"/>
      <c r="P179" s="395"/>
      <c r="Q179" s="456"/>
      <c r="R179" s="105" t="s">
        <v>2301</v>
      </c>
      <c r="S179" s="389"/>
      <c r="T179" s="389"/>
      <c r="U179" s="389"/>
      <c r="V179" s="389"/>
      <c r="W179" s="457"/>
      <c r="X179" s="457"/>
      <c r="Y179" s="457"/>
      <c r="Z179" s="457"/>
      <c r="AA179" s="103" t="s">
        <v>2286</v>
      </c>
      <c r="AB179" s="103" t="s">
        <v>2440</v>
      </c>
      <c r="AC179" s="458"/>
      <c r="AD179" s="458"/>
      <c r="AE179" s="458"/>
      <c r="AF179" s="458"/>
      <c r="AG179" s="459"/>
    </row>
    <row r="180" spans="1:33" ht="15.75" thickBot="1">
      <c r="A180" s="395" t="s">
        <v>2277</v>
      </c>
      <c r="B180" s="398" t="s">
        <v>1818</v>
      </c>
      <c r="C180" s="395" t="s">
        <v>2441</v>
      </c>
      <c r="D180" s="410" t="s">
        <v>1172</v>
      </c>
      <c r="E180" s="415" t="str">
        <f>VLOOKUP(D180,OfertaPlazas!B:D,3,FALSE)</f>
        <v>Szczecin</v>
      </c>
      <c r="F180" s="398" t="s">
        <v>2442</v>
      </c>
      <c r="G180" s="411">
        <v>992816050</v>
      </c>
      <c r="H180" s="398" t="s">
        <v>76</v>
      </c>
      <c r="I180" s="398" t="s">
        <v>76</v>
      </c>
      <c r="J180" s="398" t="s">
        <v>76</v>
      </c>
      <c r="K180" s="390" t="s">
        <v>75</v>
      </c>
      <c r="L180" s="390" t="s">
        <v>75</v>
      </c>
      <c r="M180" s="390" t="s">
        <v>76</v>
      </c>
      <c r="N180" s="390" t="s">
        <v>75</v>
      </c>
      <c r="O180" s="390" t="s">
        <v>76</v>
      </c>
      <c r="P180" s="395" t="s">
        <v>2290</v>
      </c>
      <c r="Q180" s="456" t="s">
        <v>75</v>
      </c>
      <c r="R180" s="105" t="s">
        <v>2281</v>
      </c>
      <c r="S180" s="389" t="s">
        <v>2291</v>
      </c>
      <c r="T180" s="389" t="s">
        <v>2291</v>
      </c>
      <c r="U180" s="389">
        <v>1</v>
      </c>
      <c r="V180" s="389">
        <v>1</v>
      </c>
      <c r="W180" s="457">
        <v>44331</v>
      </c>
      <c r="X180" s="457">
        <v>44515</v>
      </c>
      <c r="Y180" s="457">
        <v>44348</v>
      </c>
      <c r="Z180" s="457">
        <v>44531</v>
      </c>
      <c r="AA180" s="103" t="s">
        <v>2282</v>
      </c>
      <c r="AB180" s="103" t="s">
        <v>2283</v>
      </c>
      <c r="AC180" s="458"/>
      <c r="AD180" s="458" t="s">
        <v>2284</v>
      </c>
      <c r="AE180" s="458" t="s">
        <v>2285</v>
      </c>
      <c r="AF180" s="458"/>
      <c r="AG180" s="459"/>
    </row>
    <row r="181" spans="1:33" ht="15.75" thickBot="1">
      <c r="A181" s="395"/>
      <c r="B181" s="398"/>
      <c r="C181" s="395"/>
      <c r="D181" s="410"/>
      <c r="E181" s="415"/>
      <c r="F181" s="398"/>
      <c r="G181" s="411"/>
      <c r="H181" s="398"/>
      <c r="I181" s="398"/>
      <c r="J181" s="398"/>
      <c r="K181" s="390"/>
      <c r="L181" s="390"/>
      <c r="M181" s="390"/>
      <c r="N181" s="390"/>
      <c r="O181" s="390"/>
      <c r="P181" s="395"/>
      <c r="Q181" s="456"/>
      <c r="R181" s="105" t="s">
        <v>2303</v>
      </c>
      <c r="S181" s="389"/>
      <c r="T181" s="389"/>
      <c r="U181" s="389"/>
      <c r="V181" s="389"/>
      <c r="W181" s="457"/>
      <c r="X181" s="457"/>
      <c r="Y181" s="457"/>
      <c r="Z181" s="457"/>
      <c r="AA181" s="103" t="s">
        <v>2286</v>
      </c>
      <c r="AB181" s="103" t="s">
        <v>2443</v>
      </c>
      <c r="AC181" s="458"/>
      <c r="AD181" s="458"/>
      <c r="AE181" s="458"/>
      <c r="AF181" s="458"/>
      <c r="AG181" s="459"/>
    </row>
    <row r="182" spans="1:33" ht="15.75" thickBot="1">
      <c r="A182" s="395"/>
      <c r="B182" s="398"/>
      <c r="C182" s="395"/>
      <c r="D182" s="410"/>
      <c r="E182" s="415"/>
      <c r="F182" s="398"/>
      <c r="G182" s="411"/>
      <c r="H182" s="398"/>
      <c r="I182" s="398"/>
      <c r="J182" s="398"/>
      <c r="K182" s="390"/>
      <c r="L182" s="390"/>
      <c r="M182" s="390"/>
      <c r="N182" s="390"/>
      <c r="O182" s="390"/>
      <c r="P182" s="395"/>
      <c r="Q182" s="456"/>
      <c r="R182" s="105" t="s">
        <v>2444</v>
      </c>
      <c r="S182" s="389"/>
      <c r="T182" s="389"/>
      <c r="U182" s="389"/>
      <c r="V182" s="389"/>
      <c r="W182" s="457"/>
      <c r="X182" s="457"/>
      <c r="Y182" s="457"/>
      <c r="Z182" s="457"/>
      <c r="AA182" s="103"/>
      <c r="AB182" s="103"/>
      <c r="AC182" s="458"/>
      <c r="AD182" s="458"/>
      <c r="AE182" s="458"/>
      <c r="AF182" s="458"/>
      <c r="AG182" s="459"/>
    </row>
    <row r="183" spans="1:33" ht="15.75" thickBot="1">
      <c r="A183" s="395" t="s">
        <v>2277</v>
      </c>
      <c r="B183" s="398" t="s">
        <v>1818</v>
      </c>
      <c r="C183" s="395" t="s">
        <v>1817</v>
      </c>
      <c r="D183" s="409" t="s">
        <v>1181</v>
      </c>
      <c r="E183" s="414" t="str">
        <f>VLOOKUP(D183,OfertaPlazas!B:D,3,FALSE)</f>
        <v>Varsovia</v>
      </c>
      <c r="F183" s="398" t="s">
        <v>1182</v>
      </c>
      <c r="G183" s="411">
        <v>999884052</v>
      </c>
      <c r="H183" s="398" t="s">
        <v>76</v>
      </c>
      <c r="I183" s="398" t="s">
        <v>76</v>
      </c>
      <c r="J183" s="398" t="s">
        <v>76</v>
      </c>
      <c r="K183" s="390" t="s">
        <v>75</v>
      </c>
      <c r="L183" s="390" t="s">
        <v>75</v>
      </c>
      <c r="M183" s="390" t="s">
        <v>76</v>
      </c>
      <c r="N183" s="390" t="s">
        <v>75</v>
      </c>
      <c r="O183" s="390" t="s">
        <v>76</v>
      </c>
      <c r="P183" s="395" t="s">
        <v>2280</v>
      </c>
      <c r="Q183" s="456" t="s">
        <v>75</v>
      </c>
      <c r="R183" s="105" t="s">
        <v>2445</v>
      </c>
      <c r="S183" s="389" t="s">
        <v>2280</v>
      </c>
      <c r="T183" s="389" t="s">
        <v>2280</v>
      </c>
      <c r="U183" s="389">
        <v>1</v>
      </c>
      <c r="V183" s="389">
        <v>1</v>
      </c>
      <c r="W183" s="457">
        <v>44331</v>
      </c>
      <c r="X183" s="457">
        <v>44515</v>
      </c>
      <c r="Y183" s="457">
        <v>44348</v>
      </c>
      <c r="Z183" s="457">
        <v>44531</v>
      </c>
      <c r="AA183" s="103" t="s">
        <v>2282</v>
      </c>
      <c r="AB183" s="103" t="s">
        <v>2283</v>
      </c>
      <c r="AC183" s="458"/>
      <c r="AD183" s="458"/>
      <c r="AE183" s="458" t="s">
        <v>2285</v>
      </c>
      <c r="AF183" s="458"/>
      <c r="AG183" s="459"/>
    </row>
    <row r="184" spans="1:33" ht="15.75" thickBot="1">
      <c r="A184" s="395"/>
      <c r="B184" s="398"/>
      <c r="C184" s="395"/>
      <c r="D184" s="410"/>
      <c r="E184" s="415"/>
      <c r="F184" s="398"/>
      <c r="G184" s="411"/>
      <c r="H184" s="398"/>
      <c r="I184" s="398"/>
      <c r="J184" s="398"/>
      <c r="K184" s="390"/>
      <c r="L184" s="390"/>
      <c r="M184" s="390"/>
      <c r="N184" s="390"/>
      <c r="O184" s="390"/>
      <c r="P184" s="395"/>
      <c r="Q184" s="456"/>
      <c r="R184" s="105" t="s">
        <v>2294</v>
      </c>
      <c r="S184" s="389"/>
      <c r="T184" s="389"/>
      <c r="U184" s="389"/>
      <c r="V184" s="389"/>
      <c r="W184" s="457"/>
      <c r="X184" s="457"/>
      <c r="Y184" s="457"/>
      <c r="Z184" s="457"/>
      <c r="AA184" s="103" t="s">
        <v>2286</v>
      </c>
      <c r="AB184" s="103" t="s">
        <v>2446</v>
      </c>
      <c r="AC184" s="458"/>
      <c r="AD184" s="458"/>
      <c r="AE184" s="458"/>
      <c r="AF184" s="458"/>
      <c r="AG184" s="459"/>
    </row>
    <row r="185" spans="1:33" ht="26.25" thickBot="1">
      <c r="A185" s="106" t="s">
        <v>2277</v>
      </c>
      <c r="B185" s="116" t="s">
        <v>1818</v>
      </c>
      <c r="C185" s="106" t="s">
        <v>1817</v>
      </c>
      <c r="D185" s="122"/>
      <c r="E185" s="124"/>
      <c r="F185" s="125" t="s">
        <v>1816</v>
      </c>
      <c r="G185" s="119">
        <v>999887835</v>
      </c>
      <c r="H185" s="116" t="s">
        <v>76</v>
      </c>
      <c r="I185" s="116" t="s">
        <v>76</v>
      </c>
      <c r="J185" s="116" t="s">
        <v>76</v>
      </c>
      <c r="K185" s="107" t="s">
        <v>75</v>
      </c>
      <c r="L185" s="107" t="s">
        <v>75</v>
      </c>
      <c r="M185" s="107" t="s">
        <v>75</v>
      </c>
      <c r="N185" s="107" t="s">
        <v>75</v>
      </c>
      <c r="O185" s="107" t="s">
        <v>75</v>
      </c>
      <c r="P185" s="106">
        <v>0</v>
      </c>
      <c r="Q185" s="108" t="s">
        <v>76</v>
      </c>
      <c r="R185" s="103"/>
      <c r="S185" s="109" t="s">
        <v>2447</v>
      </c>
      <c r="T185" s="109"/>
      <c r="U185" s="109"/>
      <c r="V185" s="109"/>
      <c r="W185" s="103"/>
      <c r="X185" s="103"/>
      <c r="Y185" s="103"/>
      <c r="Z185" s="114">
        <v>44531</v>
      </c>
      <c r="AA185" s="103"/>
      <c r="AB185" s="103"/>
      <c r="AC185" s="103"/>
      <c r="AD185" s="103" t="s">
        <v>2284</v>
      </c>
      <c r="AE185" s="103"/>
      <c r="AF185" s="103"/>
      <c r="AG185" s="110"/>
    </row>
    <row r="186" spans="1:33" ht="15.75" thickBot="1">
      <c r="A186" s="395" t="s">
        <v>2277</v>
      </c>
      <c r="B186" s="398" t="s">
        <v>1818</v>
      </c>
      <c r="C186" s="395" t="s">
        <v>1193</v>
      </c>
      <c r="D186" s="409" t="s">
        <v>1191</v>
      </c>
      <c r="E186" s="414" t="str">
        <f>VLOOKUP(D186,OfertaPlazas!B:D,3,FALSE)</f>
        <v>Wroclaw</v>
      </c>
      <c r="F186" s="398" t="s">
        <v>2448</v>
      </c>
      <c r="G186" s="411">
        <v>999845931</v>
      </c>
      <c r="H186" s="398" t="s">
        <v>76</v>
      </c>
      <c r="I186" s="398" t="s">
        <v>76</v>
      </c>
      <c r="J186" s="398" t="s">
        <v>76</v>
      </c>
      <c r="K186" s="390" t="s">
        <v>75</v>
      </c>
      <c r="L186" s="390" t="s">
        <v>75</v>
      </c>
      <c r="M186" s="390" t="s">
        <v>75</v>
      </c>
      <c r="N186" s="390" t="s">
        <v>75</v>
      </c>
      <c r="O186" s="390" t="s">
        <v>76</v>
      </c>
      <c r="P186" s="395" t="s">
        <v>2291</v>
      </c>
      <c r="Q186" s="456" t="s">
        <v>75</v>
      </c>
      <c r="R186" s="105" t="s">
        <v>2281</v>
      </c>
      <c r="S186" s="389" t="s">
        <v>2291</v>
      </c>
      <c r="T186" s="389" t="s">
        <v>2291</v>
      </c>
      <c r="U186" s="389">
        <v>1</v>
      </c>
      <c r="V186" s="389">
        <v>1</v>
      </c>
      <c r="W186" s="457">
        <v>44331</v>
      </c>
      <c r="X186" s="457">
        <v>44515</v>
      </c>
      <c r="Y186" s="457">
        <v>44348</v>
      </c>
      <c r="Z186" s="457">
        <v>44531</v>
      </c>
      <c r="AA186" s="103" t="s">
        <v>2282</v>
      </c>
      <c r="AB186" s="103" t="s">
        <v>2283</v>
      </c>
      <c r="AC186" s="458"/>
      <c r="AD186" s="458" t="s">
        <v>2284</v>
      </c>
      <c r="AE186" s="458" t="s">
        <v>2285</v>
      </c>
      <c r="AF186" s="458"/>
      <c r="AG186" s="459" t="s">
        <v>1846</v>
      </c>
    </row>
    <row r="187" spans="1:33" ht="15.75" thickBot="1">
      <c r="A187" s="395"/>
      <c r="B187" s="398"/>
      <c r="C187" s="395"/>
      <c r="D187" s="410"/>
      <c r="E187" s="415"/>
      <c r="F187" s="398"/>
      <c r="G187" s="411"/>
      <c r="H187" s="398"/>
      <c r="I187" s="398"/>
      <c r="J187" s="398"/>
      <c r="K187" s="390"/>
      <c r="L187" s="390"/>
      <c r="M187" s="390"/>
      <c r="N187" s="390"/>
      <c r="O187" s="390"/>
      <c r="P187" s="395"/>
      <c r="Q187" s="456"/>
      <c r="R187" s="105" t="s">
        <v>2294</v>
      </c>
      <c r="S187" s="389"/>
      <c r="T187" s="389"/>
      <c r="U187" s="389"/>
      <c r="V187" s="389"/>
      <c r="W187" s="457"/>
      <c r="X187" s="457"/>
      <c r="Y187" s="457"/>
      <c r="Z187" s="457"/>
      <c r="AA187" s="103" t="s">
        <v>2286</v>
      </c>
      <c r="AB187" s="103" t="s">
        <v>2449</v>
      </c>
      <c r="AC187" s="458"/>
      <c r="AD187" s="458"/>
      <c r="AE187" s="458"/>
      <c r="AF187" s="458"/>
      <c r="AG187" s="459"/>
    </row>
    <row r="188" spans="1:33" ht="15.75" thickBot="1">
      <c r="A188" s="395" t="s">
        <v>2277</v>
      </c>
      <c r="B188" s="398" t="s">
        <v>1997</v>
      </c>
      <c r="C188" s="395" t="s">
        <v>1068</v>
      </c>
      <c r="D188" s="409" t="s">
        <v>1066</v>
      </c>
      <c r="E188" s="414" t="str">
        <f>VLOOKUP(D188,OfertaPlazas!B:D,3,FALSE)</f>
        <v>Bragança</v>
      </c>
      <c r="F188" s="398" t="s">
        <v>1066</v>
      </c>
      <c r="G188" s="411">
        <v>998482208</v>
      </c>
      <c r="H188" s="398" t="s">
        <v>76</v>
      </c>
      <c r="I188" s="398" t="s">
        <v>76</v>
      </c>
      <c r="J188" s="398" t="s">
        <v>76</v>
      </c>
      <c r="K188" s="390" t="s">
        <v>75</v>
      </c>
      <c r="L188" s="390" t="s">
        <v>75</v>
      </c>
      <c r="M188" s="390" t="s">
        <v>76</v>
      </c>
      <c r="N188" s="390" t="s">
        <v>75</v>
      </c>
      <c r="O188" s="390" t="s">
        <v>76</v>
      </c>
      <c r="P188" s="395" t="s">
        <v>2291</v>
      </c>
      <c r="Q188" s="456" t="s">
        <v>75</v>
      </c>
      <c r="R188" s="421" t="s">
        <v>2281</v>
      </c>
      <c r="S188" s="389" t="s">
        <v>2297</v>
      </c>
      <c r="T188" s="389" t="s">
        <v>2297</v>
      </c>
      <c r="U188" s="389">
        <v>1</v>
      </c>
      <c r="V188" s="389">
        <v>1</v>
      </c>
      <c r="W188" s="457">
        <v>44331</v>
      </c>
      <c r="X188" s="457">
        <v>44515</v>
      </c>
      <c r="Y188" s="457">
        <v>44348</v>
      </c>
      <c r="Z188" s="457">
        <v>44531</v>
      </c>
      <c r="AA188" s="103" t="s">
        <v>2282</v>
      </c>
      <c r="AB188" s="103" t="s">
        <v>2283</v>
      </c>
      <c r="AC188" s="458"/>
      <c r="AD188" s="458" t="s">
        <v>2284</v>
      </c>
      <c r="AE188" s="458" t="s">
        <v>2285</v>
      </c>
      <c r="AF188" s="458"/>
      <c r="AG188" s="459"/>
    </row>
    <row r="189" spans="1:33" ht="15.75" thickBot="1">
      <c r="A189" s="395"/>
      <c r="B189" s="398"/>
      <c r="C189" s="395"/>
      <c r="D189" s="410"/>
      <c r="E189" s="415"/>
      <c r="F189" s="398"/>
      <c r="G189" s="411"/>
      <c r="H189" s="398"/>
      <c r="I189" s="398"/>
      <c r="J189" s="398"/>
      <c r="K189" s="390"/>
      <c r="L189" s="390"/>
      <c r="M189" s="390"/>
      <c r="N189" s="390"/>
      <c r="O189" s="390"/>
      <c r="P189" s="395"/>
      <c r="Q189" s="456"/>
      <c r="R189" s="421"/>
      <c r="S189" s="389"/>
      <c r="T189" s="389"/>
      <c r="U189" s="389"/>
      <c r="V189" s="389"/>
      <c r="W189" s="457"/>
      <c r="X189" s="457"/>
      <c r="Y189" s="457"/>
      <c r="Z189" s="457"/>
      <c r="AA189" s="103" t="s">
        <v>2286</v>
      </c>
      <c r="AB189" s="103" t="s">
        <v>2450</v>
      </c>
      <c r="AC189" s="458"/>
      <c r="AD189" s="458"/>
      <c r="AE189" s="458"/>
      <c r="AF189" s="458"/>
      <c r="AG189" s="459"/>
    </row>
    <row r="190" spans="1:33" ht="15.75" thickBot="1">
      <c r="A190" s="395" t="s">
        <v>2277</v>
      </c>
      <c r="B190" s="398" t="s">
        <v>1997</v>
      </c>
      <c r="C190" s="395" t="s">
        <v>2451</v>
      </c>
      <c r="D190" s="409" t="s">
        <v>1078</v>
      </c>
      <c r="E190" s="414" t="str">
        <f>VLOOKUP(D190,OfertaPlazas!B:D,3,FALSE)</f>
        <v>Covilhas</v>
      </c>
      <c r="F190" s="398" t="s">
        <v>1078</v>
      </c>
      <c r="G190" s="411">
        <v>996437254</v>
      </c>
      <c r="H190" s="398" t="s">
        <v>76</v>
      </c>
      <c r="I190" s="398" t="s">
        <v>76</v>
      </c>
      <c r="J190" s="398" t="s">
        <v>76</v>
      </c>
      <c r="K190" s="390" t="s">
        <v>75</v>
      </c>
      <c r="L190" s="390" t="s">
        <v>75</v>
      </c>
      <c r="M190" s="390" t="s">
        <v>76</v>
      </c>
      <c r="N190" s="390" t="s">
        <v>75</v>
      </c>
      <c r="O190" s="390" t="s">
        <v>76</v>
      </c>
      <c r="P190" s="395" t="s">
        <v>2341</v>
      </c>
      <c r="Q190" s="456" t="s">
        <v>75</v>
      </c>
      <c r="R190" s="421" t="s">
        <v>2281</v>
      </c>
      <c r="S190" s="389" t="s">
        <v>2297</v>
      </c>
      <c r="T190" s="389" t="s">
        <v>2297</v>
      </c>
      <c r="U190" s="389">
        <v>1</v>
      </c>
      <c r="V190" s="389">
        <v>1</v>
      </c>
      <c r="W190" s="457">
        <v>44331</v>
      </c>
      <c r="X190" s="457">
        <v>44515</v>
      </c>
      <c r="Y190" s="457">
        <v>44348</v>
      </c>
      <c r="Z190" s="457">
        <v>44531</v>
      </c>
      <c r="AA190" s="103" t="s">
        <v>2282</v>
      </c>
      <c r="AB190" s="103" t="s">
        <v>2283</v>
      </c>
      <c r="AC190" s="458"/>
      <c r="AD190" s="458" t="s">
        <v>2284</v>
      </c>
      <c r="AE190" s="458" t="s">
        <v>2285</v>
      </c>
      <c r="AF190" s="458"/>
      <c r="AG190" s="459"/>
    </row>
    <row r="191" spans="1:33" ht="15.75" thickBot="1">
      <c r="A191" s="395"/>
      <c r="B191" s="398"/>
      <c r="C191" s="395"/>
      <c r="D191" s="410"/>
      <c r="E191" s="415"/>
      <c r="F191" s="398"/>
      <c r="G191" s="411"/>
      <c r="H191" s="398"/>
      <c r="I191" s="398"/>
      <c r="J191" s="398"/>
      <c r="K191" s="390"/>
      <c r="L191" s="390"/>
      <c r="M191" s="390"/>
      <c r="N191" s="390"/>
      <c r="O191" s="390"/>
      <c r="P191" s="395"/>
      <c r="Q191" s="456"/>
      <c r="R191" s="421"/>
      <c r="S191" s="389"/>
      <c r="T191" s="389"/>
      <c r="U191" s="389"/>
      <c r="V191" s="389"/>
      <c r="W191" s="457"/>
      <c r="X191" s="457"/>
      <c r="Y191" s="457"/>
      <c r="Z191" s="457"/>
      <c r="AA191" s="103" t="s">
        <v>2286</v>
      </c>
      <c r="AB191" s="103" t="s">
        <v>2452</v>
      </c>
      <c r="AC191" s="458"/>
      <c r="AD191" s="458"/>
      <c r="AE191" s="458"/>
      <c r="AF191" s="458"/>
      <c r="AG191" s="459"/>
    </row>
    <row r="192" spans="1:33" ht="15.75" thickBot="1">
      <c r="A192" s="395" t="s">
        <v>2277</v>
      </c>
      <c r="B192" s="398" t="s">
        <v>1997</v>
      </c>
      <c r="C192" s="395" t="s">
        <v>1085</v>
      </c>
      <c r="D192" s="409" t="s">
        <v>1083</v>
      </c>
      <c r="E192" s="414" t="str">
        <f>VLOOKUP(D192,OfertaPlazas!B:D,3,FALSE)</f>
        <v>Leiria</v>
      </c>
      <c r="F192" s="398" t="s">
        <v>2453</v>
      </c>
      <c r="G192" s="411">
        <v>996273421</v>
      </c>
      <c r="H192" s="398" t="s">
        <v>76</v>
      </c>
      <c r="I192" s="398" t="s">
        <v>76</v>
      </c>
      <c r="J192" s="398" t="s">
        <v>76</v>
      </c>
      <c r="K192" s="390" t="s">
        <v>75</v>
      </c>
      <c r="L192" s="390" t="s">
        <v>75</v>
      </c>
      <c r="M192" s="390" t="s">
        <v>76</v>
      </c>
      <c r="N192" s="390" t="s">
        <v>75</v>
      </c>
      <c r="O192" s="390" t="s">
        <v>76</v>
      </c>
      <c r="P192" s="395" t="s">
        <v>2426</v>
      </c>
      <c r="Q192" s="456" t="s">
        <v>75</v>
      </c>
      <c r="R192" s="105" t="s">
        <v>2281</v>
      </c>
      <c r="S192" s="389" t="s">
        <v>2297</v>
      </c>
      <c r="T192" s="389" t="s">
        <v>2297</v>
      </c>
      <c r="U192" s="389">
        <v>1</v>
      </c>
      <c r="V192" s="389">
        <v>1</v>
      </c>
      <c r="W192" s="457">
        <v>44331</v>
      </c>
      <c r="X192" s="457">
        <v>44515</v>
      </c>
      <c r="Y192" s="457">
        <v>44348</v>
      </c>
      <c r="Z192" s="457">
        <v>44531</v>
      </c>
      <c r="AA192" s="103" t="s">
        <v>2282</v>
      </c>
      <c r="AB192" s="103" t="s">
        <v>2283</v>
      </c>
      <c r="AC192" s="458"/>
      <c r="AD192" s="458" t="s">
        <v>2284</v>
      </c>
      <c r="AE192" s="458" t="s">
        <v>2285</v>
      </c>
      <c r="AF192" s="458"/>
      <c r="AG192" s="459"/>
    </row>
    <row r="193" spans="1:33" ht="15.75" thickBot="1">
      <c r="A193" s="395"/>
      <c r="B193" s="398"/>
      <c r="C193" s="395"/>
      <c r="D193" s="410"/>
      <c r="E193" s="415"/>
      <c r="F193" s="398"/>
      <c r="G193" s="411"/>
      <c r="H193" s="398"/>
      <c r="I193" s="398"/>
      <c r="J193" s="398"/>
      <c r="K193" s="390"/>
      <c r="L193" s="390"/>
      <c r="M193" s="390"/>
      <c r="N193" s="390"/>
      <c r="O193" s="390"/>
      <c r="P193" s="395"/>
      <c r="Q193" s="456"/>
      <c r="R193" s="105" t="s">
        <v>2303</v>
      </c>
      <c r="S193" s="389"/>
      <c r="T193" s="389"/>
      <c r="U193" s="389"/>
      <c r="V193" s="389"/>
      <c r="W193" s="457"/>
      <c r="X193" s="457"/>
      <c r="Y193" s="457"/>
      <c r="Z193" s="457"/>
      <c r="AA193" s="103" t="s">
        <v>2286</v>
      </c>
      <c r="AB193" s="103" t="s">
        <v>2454</v>
      </c>
      <c r="AC193" s="458"/>
      <c r="AD193" s="458"/>
      <c r="AE193" s="458"/>
      <c r="AF193" s="458"/>
      <c r="AG193" s="459"/>
    </row>
    <row r="194" spans="1:33" ht="15.75" thickBot="1">
      <c r="A194" s="395" t="s">
        <v>2277</v>
      </c>
      <c r="B194" s="398" t="s">
        <v>1997</v>
      </c>
      <c r="C194" s="395" t="s">
        <v>1095</v>
      </c>
      <c r="D194" s="417" t="s">
        <v>1093</v>
      </c>
      <c r="E194" s="415" t="str">
        <f>VLOOKUP(D194,OfertaPlazas!B:D,3,FALSE)</f>
        <v>Lisboa</v>
      </c>
      <c r="F194" s="398" t="s">
        <v>2455</v>
      </c>
      <c r="G194" s="411">
        <v>949885305</v>
      </c>
      <c r="H194" s="398" t="s">
        <v>76</v>
      </c>
      <c r="I194" s="398" t="s">
        <v>76</v>
      </c>
      <c r="J194" s="398" t="s">
        <v>76</v>
      </c>
      <c r="K194" s="390" t="s">
        <v>75</v>
      </c>
      <c r="L194" s="390" t="s">
        <v>75</v>
      </c>
      <c r="M194" s="390" t="s">
        <v>76</v>
      </c>
      <c r="N194" s="390" t="s">
        <v>75</v>
      </c>
      <c r="O194" s="390" t="s">
        <v>76</v>
      </c>
      <c r="P194" s="395" t="s">
        <v>2456</v>
      </c>
      <c r="Q194" s="456" t="s">
        <v>75</v>
      </c>
      <c r="R194" s="105" t="s">
        <v>2281</v>
      </c>
      <c r="S194" s="389" t="s">
        <v>2457</v>
      </c>
      <c r="T194" s="389" t="s">
        <v>2457</v>
      </c>
      <c r="U194" s="389">
        <v>1</v>
      </c>
      <c r="V194" s="389">
        <v>1</v>
      </c>
      <c r="W194" s="457">
        <v>44331</v>
      </c>
      <c r="X194" s="457">
        <v>44515</v>
      </c>
      <c r="Y194" s="457">
        <v>44348</v>
      </c>
      <c r="Z194" s="457">
        <v>44531</v>
      </c>
      <c r="AA194" s="103" t="s">
        <v>2282</v>
      </c>
      <c r="AB194" s="103" t="s">
        <v>2283</v>
      </c>
      <c r="AC194" s="424"/>
      <c r="AD194" s="458" t="s">
        <v>2284</v>
      </c>
      <c r="AE194" s="458" t="s">
        <v>2285</v>
      </c>
      <c r="AF194" s="458"/>
      <c r="AG194" s="459" t="s">
        <v>2458</v>
      </c>
    </row>
    <row r="195" spans="1:33" ht="15.75" thickBot="1">
      <c r="A195" s="395"/>
      <c r="B195" s="398"/>
      <c r="C195" s="395"/>
      <c r="D195" s="417"/>
      <c r="E195" s="415"/>
      <c r="F195" s="398"/>
      <c r="G195" s="411"/>
      <c r="H195" s="398"/>
      <c r="I195" s="398"/>
      <c r="J195" s="398"/>
      <c r="K195" s="390"/>
      <c r="L195" s="390"/>
      <c r="M195" s="390"/>
      <c r="N195" s="390"/>
      <c r="O195" s="390"/>
      <c r="P195" s="395"/>
      <c r="Q195" s="456"/>
      <c r="R195" s="105" t="s">
        <v>2303</v>
      </c>
      <c r="S195" s="389"/>
      <c r="T195" s="389"/>
      <c r="U195" s="389"/>
      <c r="V195" s="389"/>
      <c r="W195" s="457"/>
      <c r="X195" s="457"/>
      <c r="Y195" s="457"/>
      <c r="Z195" s="457"/>
      <c r="AA195" s="103" t="s">
        <v>2286</v>
      </c>
      <c r="AB195" s="103" t="s">
        <v>2459</v>
      </c>
      <c r="AC195" s="424"/>
      <c r="AD195" s="458"/>
      <c r="AE195" s="458"/>
      <c r="AF195" s="458"/>
      <c r="AG195" s="459"/>
    </row>
    <row r="196" spans="1:33" ht="15.75" thickBot="1">
      <c r="A196" s="395"/>
      <c r="B196" s="398"/>
      <c r="C196" s="395"/>
      <c r="D196" s="417"/>
      <c r="E196" s="415"/>
      <c r="F196" s="398"/>
      <c r="G196" s="411"/>
      <c r="H196" s="398"/>
      <c r="I196" s="398"/>
      <c r="J196" s="398"/>
      <c r="K196" s="390"/>
      <c r="L196" s="390"/>
      <c r="M196" s="390"/>
      <c r="N196" s="390"/>
      <c r="O196" s="390"/>
      <c r="P196" s="395"/>
      <c r="Q196" s="456"/>
      <c r="R196" s="105" t="s">
        <v>2301</v>
      </c>
      <c r="S196" s="389"/>
      <c r="T196" s="389"/>
      <c r="U196" s="389"/>
      <c r="V196" s="389"/>
      <c r="W196" s="457"/>
      <c r="X196" s="457"/>
      <c r="Y196" s="457"/>
      <c r="Z196" s="457"/>
      <c r="AA196" s="103"/>
      <c r="AB196" s="103"/>
      <c r="AC196" s="424"/>
      <c r="AD196" s="458"/>
      <c r="AE196" s="458"/>
      <c r="AF196" s="458"/>
      <c r="AG196" s="459"/>
    </row>
    <row r="197" spans="1:33" ht="15.75" thickBot="1">
      <c r="A197" s="395" t="s">
        <v>2277</v>
      </c>
      <c r="B197" s="398" t="s">
        <v>1997</v>
      </c>
      <c r="C197" s="395" t="s">
        <v>1156</v>
      </c>
      <c r="D197" s="409" t="s">
        <v>1155</v>
      </c>
      <c r="E197" s="414" t="e">
        <f>VLOOKUP(D197,OfertaPlazas!B:D,3,FALSE)</f>
        <v>#N/A</v>
      </c>
      <c r="F197" s="398" t="s">
        <v>1155</v>
      </c>
      <c r="G197" s="411">
        <v>991473861</v>
      </c>
      <c r="H197" s="398" t="s">
        <v>76</v>
      </c>
      <c r="I197" s="398" t="s">
        <v>76</v>
      </c>
      <c r="J197" s="398" t="s">
        <v>76</v>
      </c>
      <c r="K197" s="390" t="s">
        <v>75</v>
      </c>
      <c r="L197" s="390" t="s">
        <v>75</v>
      </c>
      <c r="M197" s="390" t="s">
        <v>76</v>
      </c>
      <c r="N197" s="390" t="s">
        <v>75</v>
      </c>
      <c r="O197" s="390" t="s">
        <v>76</v>
      </c>
      <c r="P197" s="395" t="s">
        <v>2291</v>
      </c>
      <c r="Q197" s="456" t="s">
        <v>75</v>
      </c>
      <c r="R197" s="105" t="s">
        <v>2281</v>
      </c>
      <c r="S197" s="389" t="s">
        <v>2291</v>
      </c>
      <c r="T197" s="389" t="s">
        <v>2291</v>
      </c>
      <c r="U197" s="389">
        <v>1</v>
      </c>
      <c r="V197" s="389">
        <v>1</v>
      </c>
      <c r="W197" s="457">
        <v>44331</v>
      </c>
      <c r="X197" s="457">
        <v>44515</v>
      </c>
      <c r="Y197" s="457">
        <v>44348</v>
      </c>
      <c r="Z197" s="457">
        <v>44531</v>
      </c>
      <c r="AA197" s="103" t="s">
        <v>2282</v>
      </c>
      <c r="AB197" s="103" t="s">
        <v>2283</v>
      </c>
      <c r="AC197" s="458"/>
      <c r="AD197" s="458" t="s">
        <v>2284</v>
      </c>
      <c r="AE197" s="458" t="s">
        <v>2285</v>
      </c>
      <c r="AF197" s="458"/>
      <c r="AG197" s="459"/>
    </row>
    <row r="198" spans="1:33" ht="15.75" thickBot="1">
      <c r="A198" s="395"/>
      <c r="B198" s="398"/>
      <c r="C198" s="395"/>
      <c r="D198" s="410"/>
      <c r="E198" s="415"/>
      <c r="F198" s="398"/>
      <c r="G198" s="411"/>
      <c r="H198" s="398"/>
      <c r="I198" s="398"/>
      <c r="J198" s="398"/>
      <c r="K198" s="390"/>
      <c r="L198" s="390"/>
      <c r="M198" s="390"/>
      <c r="N198" s="390"/>
      <c r="O198" s="390"/>
      <c r="P198" s="395"/>
      <c r="Q198" s="456"/>
      <c r="R198" s="105" t="s">
        <v>2301</v>
      </c>
      <c r="S198" s="389"/>
      <c r="T198" s="389"/>
      <c r="U198" s="389"/>
      <c r="V198" s="389"/>
      <c r="W198" s="457"/>
      <c r="X198" s="457"/>
      <c r="Y198" s="457"/>
      <c r="Z198" s="457"/>
      <c r="AA198" s="103" t="s">
        <v>2286</v>
      </c>
      <c r="AB198" s="103" t="s">
        <v>2460</v>
      </c>
      <c r="AC198" s="458"/>
      <c r="AD198" s="458"/>
      <c r="AE198" s="458"/>
      <c r="AF198" s="458"/>
      <c r="AG198" s="459"/>
    </row>
    <row r="199" spans="1:33" ht="15.75" thickBot="1">
      <c r="A199" s="395" t="s">
        <v>2277</v>
      </c>
      <c r="B199" s="398" t="s">
        <v>2461</v>
      </c>
      <c r="C199" s="395" t="s">
        <v>2462</v>
      </c>
      <c r="D199" s="409" t="s">
        <v>1889</v>
      </c>
      <c r="E199" s="414" t="e">
        <f>VLOOKUP(D199,OfertaPlazas!B:D,3,FALSE)</f>
        <v>#N/A</v>
      </c>
      <c r="F199" s="398" t="s">
        <v>2463</v>
      </c>
      <c r="G199" s="411">
        <v>999981052</v>
      </c>
      <c r="H199" s="398" t="s">
        <v>76</v>
      </c>
      <c r="I199" s="398" t="s">
        <v>76</v>
      </c>
      <c r="J199" s="398" t="s">
        <v>76</v>
      </c>
      <c r="K199" s="390" t="s">
        <v>75</v>
      </c>
      <c r="L199" s="390" t="s">
        <v>75</v>
      </c>
      <c r="M199" s="390" t="s">
        <v>76</v>
      </c>
      <c r="N199" s="390" t="s">
        <v>75</v>
      </c>
      <c r="O199" s="390" t="s">
        <v>76</v>
      </c>
      <c r="P199" s="395" t="s">
        <v>2291</v>
      </c>
      <c r="Q199" s="456" t="s">
        <v>75</v>
      </c>
      <c r="R199" s="105" t="s">
        <v>2281</v>
      </c>
      <c r="S199" s="389" t="s">
        <v>2464</v>
      </c>
      <c r="T199" s="389"/>
      <c r="U199" s="389">
        <v>1</v>
      </c>
      <c r="V199" s="389">
        <v>1</v>
      </c>
      <c r="W199" s="457">
        <v>44331</v>
      </c>
      <c r="X199" s="457">
        <v>44515</v>
      </c>
      <c r="Y199" s="457">
        <v>44348</v>
      </c>
      <c r="Z199" s="457">
        <v>44531</v>
      </c>
      <c r="AA199" s="103" t="s">
        <v>2282</v>
      </c>
      <c r="AB199" s="103" t="s">
        <v>2283</v>
      </c>
      <c r="AC199" s="458"/>
      <c r="AD199" s="458" t="s">
        <v>2284</v>
      </c>
      <c r="AE199" s="458"/>
      <c r="AF199" s="458"/>
      <c r="AG199" s="459"/>
    </row>
    <row r="200" spans="1:33" ht="15.75" thickBot="1">
      <c r="A200" s="395"/>
      <c r="B200" s="398"/>
      <c r="C200" s="395"/>
      <c r="D200" s="410"/>
      <c r="E200" s="415"/>
      <c r="F200" s="398"/>
      <c r="G200" s="411"/>
      <c r="H200" s="398"/>
      <c r="I200" s="398"/>
      <c r="J200" s="398"/>
      <c r="K200" s="390"/>
      <c r="L200" s="390"/>
      <c r="M200" s="390"/>
      <c r="N200" s="390"/>
      <c r="O200" s="390"/>
      <c r="P200" s="395"/>
      <c r="Q200" s="456"/>
      <c r="R200" s="105" t="s">
        <v>2465</v>
      </c>
      <c r="S200" s="389"/>
      <c r="T200" s="389"/>
      <c r="U200" s="389"/>
      <c r="V200" s="389"/>
      <c r="W200" s="457"/>
      <c r="X200" s="457"/>
      <c r="Y200" s="457"/>
      <c r="Z200" s="457"/>
      <c r="AA200" s="103" t="s">
        <v>2286</v>
      </c>
      <c r="AB200" s="103" t="s">
        <v>2460</v>
      </c>
      <c r="AC200" s="458"/>
      <c r="AD200" s="458"/>
      <c r="AE200" s="458"/>
      <c r="AF200" s="458"/>
      <c r="AG200" s="459"/>
    </row>
    <row r="201" spans="1:33" ht="15.75" thickBot="1">
      <c r="A201" s="395" t="s">
        <v>2277</v>
      </c>
      <c r="B201" s="398" t="s">
        <v>2461</v>
      </c>
      <c r="C201" s="395" t="s">
        <v>2462</v>
      </c>
      <c r="D201" s="409" t="s">
        <v>1396</v>
      </c>
      <c r="E201" s="414" t="str">
        <f>VLOOKUP(D201,OfertaPlazas!B:D,3,FALSE)</f>
        <v>Londres</v>
      </c>
      <c r="F201" s="398" t="s">
        <v>2466</v>
      </c>
      <c r="G201" s="411">
        <v>999847677</v>
      </c>
      <c r="H201" s="398" t="s">
        <v>76</v>
      </c>
      <c r="I201" s="398" t="s">
        <v>76</v>
      </c>
      <c r="J201" s="398" t="s">
        <v>76</v>
      </c>
      <c r="K201" s="390" t="s">
        <v>76</v>
      </c>
      <c r="L201" s="390" t="s">
        <v>75</v>
      </c>
      <c r="M201" s="390" t="s">
        <v>75</v>
      </c>
      <c r="N201" s="390" t="s">
        <v>75</v>
      </c>
      <c r="O201" s="390" t="s">
        <v>75</v>
      </c>
      <c r="P201" s="395" t="s">
        <v>2467</v>
      </c>
      <c r="Q201" s="456" t="s">
        <v>75</v>
      </c>
      <c r="R201" s="105" t="s">
        <v>2281</v>
      </c>
      <c r="S201" s="389" t="s">
        <v>2464</v>
      </c>
      <c r="T201" s="389"/>
      <c r="U201" s="389">
        <v>1</v>
      </c>
      <c r="V201" s="389">
        <v>1</v>
      </c>
      <c r="W201" s="457">
        <v>44331</v>
      </c>
      <c r="X201" s="457">
        <v>44515</v>
      </c>
      <c r="Y201" s="457">
        <v>44348</v>
      </c>
      <c r="Z201" s="457">
        <v>44531</v>
      </c>
      <c r="AA201" s="103" t="s">
        <v>2282</v>
      </c>
      <c r="AB201" s="103" t="s">
        <v>2283</v>
      </c>
      <c r="AC201" s="458"/>
      <c r="AD201" s="458" t="s">
        <v>2284</v>
      </c>
      <c r="AE201" s="458"/>
      <c r="AF201" s="458"/>
      <c r="AG201" s="459"/>
    </row>
    <row r="202" spans="1:33" ht="15.75" thickBot="1">
      <c r="A202" s="395"/>
      <c r="B202" s="398"/>
      <c r="C202" s="395"/>
      <c r="D202" s="410"/>
      <c r="E202" s="415"/>
      <c r="F202" s="398"/>
      <c r="G202" s="411"/>
      <c r="H202" s="398"/>
      <c r="I202" s="398"/>
      <c r="J202" s="398"/>
      <c r="K202" s="390"/>
      <c r="L202" s="390"/>
      <c r="M202" s="390"/>
      <c r="N202" s="390"/>
      <c r="O202" s="390"/>
      <c r="P202" s="395"/>
      <c r="Q202" s="456"/>
      <c r="R202" s="105" t="s">
        <v>2465</v>
      </c>
      <c r="S202" s="389"/>
      <c r="T202" s="389"/>
      <c r="U202" s="389"/>
      <c r="V202" s="389"/>
      <c r="W202" s="457"/>
      <c r="X202" s="457"/>
      <c r="Y202" s="457"/>
      <c r="Z202" s="457"/>
      <c r="AA202" s="103" t="s">
        <v>2286</v>
      </c>
      <c r="AB202" s="103" t="s">
        <v>2460</v>
      </c>
      <c r="AC202" s="458"/>
      <c r="AD202" s="458"/>
      <c r="AE202" s="458"/>
      <c r="AF202" s="458"/>
      <c r="AG202" s="459"/>
    </row>
    <row r="203" spans="1:33" ht="15.75" thickBot="1">
      <c r="A203" s="395" t="s">
        <v>2277</v>
      </c>
      <c r="B203" s="398" t="s">
        <v>2468</v>
      </c>
      <c r="C203" s="395" t="s">
        <v>2469</v>
      </c>
      <c r="D203" s="409" t="s">
        <v>267</v>
      </c>
      <c r="E203" s="414" t="str">
        <f>VLOOKUP(D203,OfertaPlazas!B:D,3,FALSE)</f>
        <v>Prague</v>
      </c>
      <c r="F203" s="398" t="s">
        <v>268</v>
      </c>
      <c r="G203" s="411">
        <v>999848744</v>
      </c>
      <c r="H203" s="398" t="s">
        <v>76</v>
      </c>
      <c r="I203" s="398" t="s">
        <v>76</v>
      </c>
      <c r="J203" s="398" t="s">
        <v>76</v>
      </c>
      <c r="K203" s="390" t="s">
        <v>75</v>
      </c>
      <c r="L203" s="390" t="s">
        <v>75</v>
      </c>
      <c r="M203" s="390" t="s">
        <v>76</v>
      </c>
      <c r="N203" s="390" t="s">
        <v>75</v>
      </c>
      <c r="O203" s="390" t="s">
        <v>76</v>
      </c>
      <c r="P203" s="395" t="s">
        <v>2290</v>
      </c>
      <c r="Q203" s="456" t="s">
        <v>75</v>
      </c>
      <c r="R203" s="421" t="s">
        <v>2281</v>
      </c>
      <c r="S203" s="389" t="s">
        <v>2291</v>
      </c>
      <c r="T203" s="389" t="s">
        <v>2291</v>
      </c>
      <c r="U203" s="389">
        <v>1</v>
      </c>
      <c r="V203" s="389">
        <v>1</v>
      </c>
      <c r="W203" s="457">
        <v>44331</v>
      </c>
      <c r="X203" s="457">
        <v>44515</v>
      </c>
      <c r="Y203" s="457">
        <v>44348</v>
      </c>
      <c r="Z203" s="457">
        <v>44531</v>
      </c>
      <c r="AA203" s="103" t="s">
        <v>2282</v>
      </c>
      <c r="AB203" s="103" t="s">
        <v>2283</v>
      </c>
      <c r="AC203" s="458"/>
      <c r="AD203" s="458" t="s">
        <v>2284</v>
      </c>
      <c r="AE203" s="458" t="s">
        <v>2285</v>
      </c>
      <c r="AF203" s="458"/>
      <c r="AG203" s="459"/>
    </row>
    <row r="204" spans="1:33" ht="15.75" thickBot="1">
      <c r="A204" s="395"/>
      <c r="B204" s="398"/>
      <c r="C204" s="395"/>
      <c r="D204" s="410"/>
      <c r="E204" s="415"/>
      <c r="F204" s="398"/>
      <c r="G204" s="411"/>
      <c r="H204" s="398"/>
      <c r="I204" s="398"/>
      <c r="J204" s="398"/>
      <c r="K204" s="390"/>
      <c r="L204" s="390"/>
      <c r="M204" s="390"/>
      <c r="N204" s="390"/>
      <c r="O204" s="390"/>
      <c r="P204" s="395"/>
      <c r="Q204" s="456"/>
      <c r="R204" s="421"/>
      <c r="S204" s="389"/>
      <c r="T204" s="389"/>
      <c r="U204" s="389"/>
      <c r="V204" s="389"/>
      <c r="W204" s="457"/>
      <c r="X204" s="457"/>
      <c r="Y204" s="457"/>
      <c r="Z204" s="457"/>
      <c r="AA204" s="103" t="s">
        <v>2286</v>
      </c>
      <c r="AB204" s="103" t="s">
        <v>2470</v>
      </c>
      <c r="AC204" s="458"/>
      <c r="AD204" s="458"/>
      <c r="AE204" s="458"/>
      <c r="AF204" s="458"/>
      <c r="AG204" s="459"/>
    </row>
    <row r="205" spans="1:33" ht="15.75" thickBot="1">
      <c r="A205" s="395" t="s">
        <v>2277</v>
      </c>
      <c r="B205" s="398" t="s">
        <v>1820</v>
      </c>
      <c r="C205" s="395" t="s">
        <v>2471</v>
      </c>
      <c r="D205" s="409" t="s">
        <v>2472</v>
      </c>
      <c r="E205" s="414" t="e">
        <f>VLOOKUP(D205,OfertaPlazas!B:D,3,FALSE)</f>
        <v>#N/A</v>
      </c>
      <c r="F205" s="398" t="s">
        <v>2473</v>
      </c>
      <c r="G205" s="411">
        <v>949114834</v>
      </c>
      <c r="H205" s="398" t="s">
        <v>76</v>
      </c>
      <c r="I205" s="398" t="s">
        <v>76</v>
      </c>
      <c r="J205" s="398" t="s">
        <v>76</v>
      </c>
      <c r="K205" s="390" t="s">
        <v>75</v>
      </c>
      <c r="L205" s="390" t="s">
        <v>75</v>
      </c>
      <c r="M205" s="390" t="s">
        <v>76</v>
      </c>
      <c r="N205" s="390" t="s">
        <v>75</v>
      </c>
      <c r="O205" s="390" t="s">
        <v>76</v>
      </c>
      <c r="P205" s="395" t="s">
        <v>2385</v>
      </c>
      <c r="Q205" s="456" t="s">
        <v>75</v>
      </c>
      <c r="R205" s="421" t="s">
        <v>2281</v>
      </c>
      <c r="S205" s="389" t="s">
        <v>2297</v>
      </c>
      <c r="T205" s="389" t="s">
        <v>2297</v>
      </c>
      <c r="U205" s="389">
        <v>1</v>
      </c>
      <c r="V205" s="389">
        <v>1</v>
      </c>
      <c r="W205" s="457">
        <v>44331</v>
      </c>
      <c r="X205" s="457">
        <v>44515</v>
      </c>
      <c r="Y205" s="457">
        <v>44348</v>
      </c>
      <c r="Z205" s="457">
        <v>44531</v>
      </c>
      <c r="AA205" s="103" t="s">
        <v>2282</v>
      </c>
      <c r="AB205" s="103" t="s">
        <v>2283</v>
      </c>
      <c r="AC205" s="458"/>
      <c r="AD205" s="458" t="s">
        <v>2284</v>
      </c>
      <c r="AE205" s="458" t="s">
        <v>2285</v>
      </c>
      <c r="AF205" s="458"/>
      <c r="AG205" s="459"/>
    </row>
    <row r="206" spans="1:33" ht="15.75" thickBot="1">
      <c r="A206" s="395"/>
      <c r="B206" s="398"/>
      <c r="C206" s="395"/>
      <c r="D206" s="410"/>
      <c r="E206" s="415"/>
      <c r="F206" s="398"/>
      <c r="G206" s="411"/>
      <c r="H206" s="398"/>
      <c r="I206" s="398"/>
      <c r="J206" s="398"/>
      <c r="K206" s="390"/>
      <c r="L206" s="390"/>
      <c r="M206" s="390"/>
      <c r="N206" s="390"/>
      <c r="O206" s="390"/>
      <c r="P206" s="395"/>
      <c r="Q206" s="456"/>
      <c r="R206" s="421"/>
      <c r="S206" s="389"/>
      <c r="T206" s="389"/>
      <c r="U206" s="389"/>
      <c r="V206" s="389"/>
      <c r="W206" s="457"/>
      <c r="X206" s="457"/>
      <c r="Y206" s="457"/>
      <c r="Z206" s="457"/>
      <c r="AA206" s="103" t="s">
        <v>2286</v>
      </c>
      <c r="AB206" s="103" t="s">
        <v>2474</v>
      </c>
      <c r="AC206" s="458"/>
      <c r="AD206" s="458"/>
      <c r="AE206" s="458"/>
      <c r="AF206" s="458"/>
      <c r="AG206" s="459"/>
    </row>
    <row r="207" spans="1:33" ht="15.75" thickBot="1">
      <c r="A207" s="395" t="s">
        <v>2277</v>
      </c>
      <c r="B207" s="398" t="s">
        <v>1820</v>
      </c>
      <c r="C207" s="395" t="s">
        <v>1200</v>
      </c>
      <c r="D207" s="409" t="s">
        <v>1198</v>
      </c>
      <c r="E207" s="414" t="str">
        <f>VLOOKUP(D207,OfertaPlazas!B:D,3,FALSE)</f>
        <v>Sibiu</v>
      </c>
      <c r="F207" s="398" t="s">
        <v>2475</v>
      </c>
      <c r="G207" s="411">
        <v>975502423</v>
      </c>
      <c r="H207" s="398" t="s">
        <v>76</v>
      </c>
      <c r="I207" s="398" t="s">
        <v>76</v>
      </c>
      <c r="J207" s="398" t="s">
        <v>76</v>
      </c>
      <c r="K207" s="390" t="s">
        <v>75</v>
      </c>
      <c r="L207" s="390" t="s">
        <v>75</v>
      </c>
      <c r="M207" s="390" t="s">
        <v>76</v>
      </c>
      <c r="N207" s="390" t="s">
        <v>75</v>
      </c>
      <c r="O207" s="390" t="s">
        <v>76</v>
      </c>
      <c r="P207" s="395" t="s">
        <v>2291</v>
      </c>
      <c r="Q207" s="456" t="s">
        <v>75</v>
      </c>
      <c r="R207" s="421" t="s">
        <v>2281</v>
      </c>
      <c r="S207" s="389" t="s">
        <v>2291</v>
      </c>
      <c r="T207" s="389" t="s">
        <v>2291</v>
      </c>
      <c r="U207" s="389">
        <v>1</v>
      </c>
      <c r="V207" s="389">
        <v>1</v>
      </c>
      <c r="W207" s="457">
        <v>44331</v>
      </c>
      <c r="X207" s="457">
        <v>44515</v>
      </c>
      <c r="Y207" s="457">
        <v>44348</v>
      </c>
      <c r="Z207" s="457">
        <v>44531</v>
      </c>
      <c r="AA207" s="103" t="s">
        <v>2282</v>
      </c>
      <c r="AB207" s="103" t="s">
        <v>2283</v>
      </c>
      <c r="AC207" s="458"/>
      <c r="AD207" s="458" t="s">
        <v>2284</v>
      </c>
      <c r="AE207" s="458" t="s">
        <v>2285</v>
      </c>
      <c r="AF207" s="458"/>
      <c r="AG207" s="459"/>
    </row>
    <row r="208" spans="1:33" ht="15.75" thickBot="1">
      <c r="A208" s="395"/>
      <c r="B208" s="398"/>
      <c r="C208" s="395"/>
      <c r="D208" s="410"/>
      <c r="E208" s="415"/>
      <c r="F208" s="398"/>
      <c r="G208" s="411"/>
      <c r="H208" s="398"/>
      <c r="I208" s="398"/>
      <c r="J208" s="398"/>
      <c r="K208" s="390"/>
      <c r="L208" s="390"/>
      <c r="M208" s="390"/>
      <c r="N208" s="390"/>
      <c r="O208" s="390"/>
      <c r="P208" s="395"/>
      <c r="Q208" s="456"/>
      <c r="R208" s="421"/>
      <c r="S208" s="389"/>
      <c r="T208" s="389"/>
      <c r="U208" s="389"/>
      <c r="V208" s="389"/>
      <c r="W208" s="457"/>
      <c r="X208" s="457"/>
      <c r="Y208" s="457"/>
      <c r="Z208" s="457"/>
      <c r="AA208" s="103" t="s">
        <v>2286</v>
      </c>
      <c r="AB208" s="103" t="s">
        <v>2476</v>
      </c>
      <c r="AC208" s="458"/>
      <c r="AD208" s="458"/>
      <c r="AE208" s="458"/>
      <c r="AF208" s="458"/>
      <c r="AG208" s="459"/>
    </row>
    <row r="209" spans="1:33" ht="15.75" thickBot="1">
      <c r="A209" s="395" t="s">
        <v>2277</v>
      </c>
      <c r="B209" s="398" t="s">
        <v>1820</v>
      </c>
      <c r="C209" s="395" t="s">
        <v>1249</v>
      </c>
      <c r="D209" s="412"/>
      <c r="E209" s="422"/>
      <c r="F209" s="419" t="s">
        <v>1819</v>
      </c>
      <c r="G209" s="411"/>
      <c r="H209" s="398" t="s">
        <v>76</v>
      </c>
      <c r="I209" s="398" t="s">
        <v>76</v>
      </c>
      <c r="J209" s="398" t="s">
        <v>76</v>
      </c>
      <c r="K209" s="390" t="s">
        <v>75</v>
      </c>
      <c r="L209" s="390" t="s">
        <v>75</v>
      </c>
      <c r="M209" s="390" t="s">
        <v>75</v>
      </c>
      <c r="N209" s="390" t="s">
        <v>75</v>
      </c>
      <c r="O209" s="390" t="s">
        <v>75</v>
      </c>
      <c r="P209" s="395" t="s">
        <v>2291</v>
      </c>
      <c r="Q209" s="418" t="s">
        <v>2395</v>
      </c>
      <c r="R209" s="105" t="s">
        <v>2281</v>
      </c>
      <c r="S209" s="389" t="s">
        <v>2291</v>
      </c>
      <c r="T209" s="389" t="s">
        <v>2291</v>
      </c>
      <c r="U209" s="389">
        <v>1</v>
      </c>
      <c r="V209" s="389">
        <v>1</v>
      </c>
      <c r="W209" s="457">
        <v>44331</v>
      </c>
      <c r="X209" s="457">
        <v>44515</v>
      </c>
      <c r="Y209" s="457">
        <v>44348</v>
      </c>
      <c r="Z209" s="457">
        <v>44531</v>
      </c>
      <c r="AA209" s="115" t="s">
        <v>2282</v>
      </c>
      <c r="AB209" s="103" t="s">
        <v>2283</v>
      </c>
      <c r="AC209" s="458"/>
      <c r="AD209" s="458" t="s">
        <v>2284</v>
      </c>
      <c r="AE209" s="388" t="s">
        <v>2285</v>
      </c>
      <c r="AF209" s="458"/>
      <c r="AG209" s="459" t="s">
        <v>2398</v>
      </c>
    </row>
    <row r="210" spans="1:33" ht="15.75" thickBot="1">
      <c r="A210" s="395"/>
      <c r="B210" s="398"/>
      <c r="C210" s="395"/>
      <c r="D210" s="413"/>
      <c r="E210" s="423"/>
      <c r="F210" s="419"/>
      <c r="G210" s="411"/>
      <c r="H210" s="398"/>
      <c r="I210" s="398"/>
      <c r="J210" s="398"/>
      <c r="K210" s="390"/>
      <c r="L210" s="390"/>
      <c r="M210" s="390"/>
      <c r="N210" s="390"/>
      <c r="O210" s="390"/>
      <c r="P210" s="395"/>
      <c r="Q210" s="418"/>
      <c r="R210" s="105" t="s">
        <v>2303</v>
      </c>
      <c r="S210" s="389"/>
      <c r="T210" s="389"/>
      <c r="U210" s="389"/>
      <c r="V210" s="389"/>
      <c r="W210" s="457"/>
      <c r="X210" s="457"/>
      <c r="Y210" s="457"/>
      <c r="Z210" s="457"/>
      <c r="AA210" s="115" t="s">
        <v>2286</v>
      </c>
      <c r="AB210" s="103" t="s">
        <v>2397</v>
      </c>
      <c r="AC210" s="458"/>
      <c r="AD210" s="458"/>
      <c r="AE210" s="388"/>
      <c r="AF210" s="458"/>
      <c r="AG210" s="459"/>
    </row>
    <row r="211" spans="1:33" ht="15.75" thickBot="1">
      <c r="A211" s="395" t="s">
        <v>2277</v>
      </c>
      <c r="B211" s="398" t="s">
        <v>1822</v>
      </c>
      <c r="C211" s="395" t="s">
        <v>1821</v>
      </c>
      <c r="D211" s="412"/>
      <c r="E211" s="422"/>
      <c r="F211" s="419" t="s">
        <v>2477</v>
      </c>
      <c r="G211" s="411"/>
      <c r="H211" s="398" t="s">
        <v>76</v>
      </c>
      <c r="I211" s="398" t="s">
        <v>76</v>
      </c>
      <c r="J211" s="398" t="s">
        <v>76</v>
      </c>
      <c r="K211" s="390" t="s">
        <v>75</v>
      </c>
      <c r="L211" s="390" t="s">
        <v>75</v>
      </c>
      <c r="M211" s="390" t="s">
        <v>75</v>
      </c>
      <c r="N211" s="390" t="s">
        <v>75</v>
      </c>
      <c r="O211" s="390" t="s">
        <v>75</v>
      </c>
      <c r="P211" s="395" t="s">
        <v>2291</v>
      </c>
      <c r="Q211" s="418" t="s">
        <v>2395</v>
      </c>
      <c r="R211" s="105" t="s">
        <v>2281</v>
      </c>
      <c r="S211" s="389" t="s">
        <v>2291</v>
      </c>
      <c r="T211" s="389" t="s">
        <v>2291</v>
      </c>
      <c r="U211" s="389">
        <v>1</v>
      </c>
      <c r="V211" s="389">
        <v>1</v>
      </c>
      <c r="W211" s="457">
        <v>44331</v>
      </c>
      <c r="X211" s="457">
        <v>44515</v>
      </c>
      <c r="Y211" s="457">
        <v>44348</v>
      </c>
      <c r="Z211" s="457">
        <v>44531</v>
      </c>
      <c r="AA211" s="113" t="s">
        <v>2282</v>
      </c>
      <c r="AB211" s="103" t="s">
        <v>2283</v>
      </c>
      <c r="AC211" s="458"/>
      <c r="AD211" s="458" t="s">
        <v>2284</v>
      </c>
      <c r="AE211" s="388" t="s">
        <v>2285</v>
      </c>
      <c r="AF211" s="458"/>
      <c r="AG211" s="459" t="s">
        <v>2478</v>
      </c>
    </row>
    <row r="212" spans="1:33" ht="15.75" thickBot="1">
      <c r="A212" s="395"/>
      <c r="B212" s="398"/>
      <c r="C212" s="395"/>
      <c r="D212" s="413"/>
      <c r="E212" s="423"/>
      <c r="F212" s="419"/>
      <c r="G212" s="411"/>
      <c r="H212" s="398"/>
      <c r="I212" s="398"/>
      <c r="J212" s="398"/>
      <c r="K212" s="390"/>
      <c r="L212" s="390"/>
      <c r="M212" s="390"/>
      <c r="N212" s="390"/>
      <c r="O212" s="390"/>
      <c r="P212" s="395"/>
      <c r="Q212" s="418"/>
      <c r="R212" s="105" t="s">
        <v>2303</v>
      </c>
      <c r="S212" s="389"/>
      <c r="T212" s="389"/>
      <c r="U212" s="389"/>
      <c r="V212" s="389"/>
      <c r="W212" s="457"/>
      <c r="X212" s="457"/>
      <c r="Y212" s="457"/>
      <c r="Z212" s="457"/>
      <c r="AA212" s="113" t="s">
        <v>2286</v>
      </c>
      <c r="AB212" s="103" t="s">
        <v>2397</v>
      </c>
      <c r="AC212" s="458"/>
      <c r="AD212" s="458"/>
      <c r="AE212" s="388"/>
      <c r="AF212" s="458"/>
      <c r="AG212" s="459"/>
    </row>
    <row r="213" spans="1:33" ht="15.75" thickBot="1">
      <c r="A213" s="395" t="s">
        <v>2277</v>
      </c>
      <c r="B213" s="398" t="s">
        <v>2479</v>
      </c>
      <c r="C213" s="395" t="s">
        <v>2480</v>
      </c>
      <c r="D213" s="409" t="s">
        <v>1288</v>
      </c>
      <c r="E213" s="414" t="str">
        <f>VLOOKUP(D213,OfertaPlazas!B:D,3,FALSE)</f>
        <v>Västerås</v>
      </c>
      <c r="F213" s="398" t="s">
        <v>2481</v>
      </c>
      <c r="G213" s="411">
        <v>999881530</v>
      </c>
      <c r="H213" s="398" t="s">
        <v>76</v>
      </c>
      <c r="I213" s="398" t="s">
        <v>76</v>
      </c>
      <c r="J213" s="398" t="s">
        <v>76</v>
      </c>
      <c r="K213" s="390" t="s">
        <v>75</v>
      </c>
      <c r="L213" s="390" t="s">
        <v>75</v>
      </c>
      <c r="M213" s="390" t="s">
        <v>75</v>
      </c>
      <c r="N213" s="390" t="s">
        <v>75</v>
      </c>
      <c r="O213" s="390" t="s">
        <v>75</v>
      </c>
      <c r="P213" s="395" t="s">
        <v>2291</v>
      </c>
      <c r="Q213" s="456" t="s">
        <v>75</v>
      </c>
      <c r="R213" s="105" t="s">
        <v>2281</v>
      </c>
      <c r="S213" s="389" t="s">
        <v>2291</v>
      </c>
      <c r="T213" s="389" t="s">
        <v>2291</v>
      </c>
      <c r="U213" s="389">
        <v>1</v>
      </c>
      <c r="V213" s="389">
        <v>1</v>
      </c>
      <c r="W213" s="457">
        <v>44331</v>
      </c>
      <c r="X213" s="457">
        <v>44515</v>
      </c>
      <c r="Y213" s="457">
        <v>44348</v>
      </c>
      <c r="Z213" s="457">
        <v>44531</v>
      </c>
      <c r="AA213" s="103" t="s">
        <v>2282</v>
      </c>
      <c r="AB213" s="103" t="s">
        <v>2283</v>
      </c>
      <c r="AC213" s="458"/>
      <c r="AD213" s="458" t="s">
        <v>2284</v>
      </c>
      <c r="AE213" s="458" t="s">
        <v>2285</v>
      </c>
      <c r="AF213" s="458"/>
      <c r="AG213" s="459"/>
    </row>
    <row r="214" spans="1:33" ht="15.75" thickBot="1">
      <c r="A214" s="395"/>
      <c r="B214" s="398"/>
      <c r="C214" s="395"/>
      <c r="D214" s="410"/>
      <c r="E214" s="415"/>
      <c r="F214" s="398"/>
      <c r="G214" s="411"/>
      <c r="H214" s="398"/>
      <c r="I214" s="398"/>
      <c r="J214" s="398"/>
      <c r="K214" s="390"/>
      <c r="L214" s="390"/>
      <c r="M214" s="390"/>
      <c r="N214" s="390"/>
      <c r="O214" s="390"/>
      <c r="P214" s="395"/>
      <c r="Q214" s="456"/>
      <c r="R214" s="105" t="s">
        <v>2294</v>
      </c>
      <c r="S214" s="389"/>
      <c r="T214" s="389"/>
      <c r="U214" s="389"/>
      <c r="V214" s="389"/>
      <c r="W214" s="457"/>
      <c r="X214" s="457"/>
      <c r="Y214" s="457"/>
      <c r="Z214" s="457"/>
      <c r="AA214" s="103" t="s">
        <v>2286</v>
      </c>
      <c r="AB214" s="103" t="s">
        <v>2482</v>
      </c>
      <c r="AC214" s="458"/>
      <c r="AD214" s="458"/>
      <c r="AE214" s="458"/>
      <c r="AF214" s="458"/>
      <c r="AG214" s="459"/>
    </row>
    <row r="215" spans="1:33" ht="15.75" thickBot="1">
      <c r="A215" s="395" t="s">
        <v>2277</v>
      </c>
      <c r="B215" s="398" t="s">
        <v>2479</v>
      </c>
      <c r="C215" s="395" t="s">
        <v>2483</v>
      </c>
      <c r="D215" s="409" t="s">
        <v>1217</v>
      </c>
      <c r="E215" s="414" t="str">
        <f>VLOOKUP(D215,OfertaPlazas!B:D,3,FALSE)</f>
        <v>Jönköping</v>
      </c>
      <c r="F215" s="398" t="s">
        <v>2484</v>
      </c>
      <c r="G215" s="411">
        <v>997539271</v>
      </c>
      <c r="H215" s="398" t="s">
        <v>76</v>
      </c>
      <c r="I215" s="398" t="s">
        <v>76</v>
      </c>
      <c r="J215" s="398" t="s">
        <v>76</v>
      </c>
      <c r="K215" s="390" t="s">
        <v>75</v>
      </c>
      <c r="L215" s="390" t="s">
        <v>75</v>
      </c>
      <c r="M215" s="390" t="s">
        <v>76</v>
      </c>
      <c r="N215" s="390" t="s">
        <v>75</v>
      </c>
      <c r="O215" s="390" t="s">
        <v>76</v>
      </c>
      <c r="P215" s="395" t="s">
        <v>2290</v>
      </c>
      <c r="Q215" s="456" t="s">
        <v>75</v>
      </c>
      <c r="R215" s="421" t="s">
        <v>2281</v>
      </c>
      <c r="S215" s="389" t="s">
        <v>2291</v>
      </c>
      <c r="T215" s="389" t="s">
        <v>2291</v>
      </c>
      <c r="U215" s="389">
        <v>1</v>
      </c>
      <c r="V215" s="389">
        <v>1</v>
      </c>
      <c r="W215" s="457">
        <v>44331</v>
      </c>
      <c r="X215" s="457">
        <v>44515</v>
      </c>
      <c r="Y215" s="457">
        <v>44348</v>
      </c>
      <c r="Z215" s="457">
        <v>44531</v>
      </c>
      <c r="AA215" s="103" t="s">
        <v>2282</v>
      </c>
      <c r="AB215" s="103" t="s">
        <v>2283</v>
      </c>
      <c r="AC215" s="458"/>
      <c r="AD215" s="458" t="s">
        <v>2284</v>
      </c>
      <c r="AE215" s="458" t="s">
        <v>2285</v>
      </c>
      <c r="AF215" s="458"/>
      <c r="AG215" s="459"/>
    </row>
    <row r="216" spans="1:33" ht="15.75" thickBot="1">
      <c r="A216" s="395"/>
      <c r="B216" s="398"/>
      <c r="C216" s="395"/>
      <c r="D216" s="410"/>
      <c r="E216" s="415"/>
      <c r="F216" s="398"/>
      <c r="G216" s="411"/>
      <c r="H216" s="398"/>
      <c r="I216" s="398"/>
      <c r="J216" s="398"/>
      <c r="K216" s="390"/>
      <c r="L216" s="390"/>
      <c r="M216" s="390"/>
      <c r="N216" s="390"/>
      <c r="O216" s="390"/>
      <c r="P216" s="395"/>
      <c r="Q216" s="456"/>
      <c r="R216" s="421"/>
      <c r="S216" s="389"/>
      <c r="T216" s="389"/>
      <c r="U216" s="389"/>
      <c r="V216" s="389"/>
      <c r="W216" s="457"/>
      <c r="X216" s="457"/>
      <c r="Y216" s="457"/>
      <c r="Z216" s="457"/>
      <c r="AA216" s="103" t="s">
        <v>2286</v>
      </c>
      <c r="AB216" s="103" t="s">
        <v>2485</v>
      </c>
      <c r="AC216" s="458"/>
      <c r="AD216" s="458"/>
      <c r="AE216" s="458"/>
      <c r="AF216" s="458"/>
      <c r="AG216" s="459"/>
    </row>
    <row r="217" spans="1:33" ht="15.75" thickBot="1">
      <c r="A217" s="395" t="s">
        <v>2277</v>
      </c>
      <c r="B217" s="398" t="s">
        <v>2479</v>
      </c>
      <c r="C217" s="395" t="s">
        <v>1230</v>
      </c>
      <c r="D217" s="409" t="s">
        <v>1228</v>
      </c>
      <c r="E217" s="414" t="str">
        <f>VLOOKUP(D217,OfertaPlazas!B:D,3,FALSE)</f>
        <v>Karlskrona</v>
      </c>
      <c r="F217" s="398" t="s">
        <v>2486</v>
      </c>
      <c r="G217" s="411">
        <v>999589172</v>
      </c>
      <c r="H217" s="398" t="s">
        <v>76</v>
      </c>
      <c r="I217" s="398" t="s">
        <v>76</v>
      </c>
      <c r="J217" s="398" t="s">
        <v>76</v>
      </c>
      <c r="K217" s="390" t="s">
        <v>75</v>
      </c>
      <c r="L217" s="390" t="s">
        <v>75</v>
      </c>
      <c r="M217" s="390" t="s">
        <v>76</v>
      </c>
      <c r="N217" s="390" t="s">
        <v>75</v>
      </c>
      <c r="O217" s="390" t="s">
        <v>76</v>
      </c>
      <c r="P217" s="395" t="s">
        <v>2291</v>
      </c>
      <c r="Q217" s="456" t="s">
        <v>75</v>
      </c>
      <c r="R217" s="421" t="s">
        <v>2281</v>
      </c>
      <c r="S217" s="389" t="s">
        <v>2291</v>
      </c>
      <c r="T217" s="389" t="s">
        <v>2291</v>
      </c>
      <c r="U217" s="389">
        <v>1</v>
      </c>
      <c r="V217" s="389">
        <v>1</v>
      </c>
      <c r="W217" s="457">
        <v>44331</v>
      </c>
      <c r="X217" s="457">
        <v>44515</v>
      </c>
      <c r="Y217" s="457">
        <v>44348</v>
      </c>
      <c r="Z217" s="457">
        <v>44531</v>
      </c>
      <c r="AA217" s="103" t="s">
        <v>2282</v>
      </c>
      <c r="AB217" s="103" t="s">
        <v>2283</v>
      </c>
      <c r="AC217" s="458"/>
      <c r="AD217" s="458" t="s">
        <v>2284</v>
      </c>
      <c r="AE217" s="458" t="s">
        <v>2285</v>
      </c>
      <c r="AF217" s="458"/>
      <c r="AG217" s="459"/>
    </row>
    <row r="218" spans="1:33" ht="15.75" thickBot="1">
      <c r="A218" s="395"/>
      <c r="B218" s="398"/>
      <c r="C218" s="395"/>
      <c r="D218" s="410"/>
      <c r="E218" s="415"/>
      <c r="F218" s="398"/>
      <c r="G218" s="411"/>
      <c r="H218" s="398"/>
      <c r="I218" s="398"/>
      <c r="J218" s="398"/>
      <c r="K218" s="390"/>
      <c r="L218" s="390"/>
      <c r="M218" s="390"/>
      <c r="N218" s="390"/>
      <c r="O218" s="390"/>
      <c r="P218" s="395"/>
      <c r="Q218" s="456"/>
      <c r="R218" s="421"/>
      <c r="S218" s="389"/>
      <c r="T218" s="389"/>
      <c r="U218" s="389"/>
      <c r="V218" s="389"/>
      <c r="W218" s="457"/>
      <c r="X218" s="457"/>
      <c r="Y218" s="457"/>
      <c r="Z218" s="457"/>
      <c r="AA218" s="103" t="s">
        <v>2286</v>
      </c>
      <c r="AB218" s="103" t="s">
        <v>2487</v>
      </c>
      <c r="AC218" s="458"/>
      <c r="AD218" s="458"/>
      <c r="AE218" s="458"/>
      <c r="AF218" s="458"/>
      <c r="AG218" s="459"/>
    </row>
    <row r="219" spans="1:33" ht="15.75" thickBot="1">
      <c r="A219" s="395" t="s">
        <v>2277</v>
      </c>
      <c r="B219" s="398" t="s">
        <v>2479</v>
      </c>
      <c r="C219" s="395" t="s">
        <v>1239</v>
      </c>
      <c r="D219" s="409" t="s">
        <v>1237</v>
      </c>
      <c r="E219" s="414" t="str">
        <f>VLOOKUP(D219,OfertaPlazas!B:D,3,FALSE)</f>
        <v>Linköping</v>
      </c>
      <c r="F219" s="398" t="s">
        <v>1238</v>
      </c>
      <c r="G219" s="411">
        <v>999852236</v>
      </c>
      <c r="H219" s="398" t="s">
        <v>76</v>
      </c>
      <c r="I219" s="398" t="s">
        <v>76</v>
      </c>
      <c r="J219" s="398" t="s">
        <v>76</v>
      </c>
      <c r="K219" s="390" t="s">
        <v>75</v>
      </c>
      <c r="L219" s="390" t="s">
        <v>75</v>
      </c>
      <c r="M219" s="390" t="s">
        <v>76</v>
      </c>
      <c r="N219" s="390" t="s">
        <v>75</v>
      </c>
      <c r="O219" s="390" t="s">
        <v>76</v>
      </c>
      <c r="P219" s="395" t="s">
        <v>2330</v>
      </c>
      <c r="Q219" s="456" t="s">
        <v>75</v>
      </c>
      <c r="R219" s="456" t="s">
        <v>2303</v>
      </c>
      <c r="S219" s="389"/>
      <c r="T219" s="389" t="s">
        <v>2297</v>
      </c>
      <c r="U219" s="389">
        <v>1</v>
      </c>
      <c r="V219" s="389">
        <v>1</v>
      </c>
      <c r="W219" s="457">
        <v>44331</v>
      </c>
      <c r="X219" s="457">
        <v>44515</v>
      </c>
      <c r="Y219" s="457">
        <v>44348</v>
      </c>
      <c r="Z219" s="457">
        <v>44531</v>
      </c>
      <c r="AA219" s="103" t="s">
        <v>2282</v>
      </c>
      <c r="AB219" s="103" t="s">
        <v>2283</v>
      </c>
      <c r="AC219" s="458"/>
      <c r="AD219" s="458" t="s">
        <v>2284</v>
      </c>
      <c r="AE219" s="458" t="s">
        <v>2285</v>
      </c>
      <c r="AF219" s="458"/>
      <c r="AG219" s="459"/>
    </row>
    <row r="220" spans="1:33" ht="15.75" thickBot="1">
      <c r="A220" s="395"/>
      <c r="B220" s="398"/>
      <c r="C220" s="395"/>
      <c r="D220" s="410"/>
      <c r="E220" s="415"/>
      <c r="F220" s="398"/>
      <c r="G220" s="411"/>
      <c r="H220" s="398"/>
      <c r="I220" s="398"/>
      <c r="J220" s="398"/>
      <c r="K220" s="390"/>
      <c r="L220" s="390"/>
      <c r="M220" s="390"/>
      <c r="N220" s="390"/>
      <c r="O220" s="390"/>
      <c r="P220" s="395"/>
      <c r="Q220" s="456"/>
      <c r="R220" s="456"/>
      <c r="S220" s="389"/>
      <c r="T220" s="389"/>
      <c r="U220" s="389"/>
      <c r="V220" s="389"/>
      <c r="W220" s="457"/>
      <c r="X220" s="457"/>
      <c r="Y220" s="457"/>
      <c r="Z220" s="457"/>
      <c r="AA220" s="103" t="s">
        <v>2286</v>
      </c>
      <c r="AB220" s="103" t="s">
        <v>2488</v>
      </c>
      <c r="AC220" s="458"/>
      <c r="AD220" s="458"/>
      <c r="AE220" s="458"/>
      <c r="AF220" s="458"/>
      <c r="AG220" s="459"/>
    </row>
    <row r="221" spans="1:33" ht="15.75" thickBot="1">
      <c r="A221" s="395" t="s">
        <v>2277</v>
      </c>
      <c r="B221" s="398" t="s">
        <v>2479</v>
      </c>
      <c r="C221" s="395" t="s">
        <v>1254</v>
      </c>
      <c r="D221" s="409" t="s">
        <v>1252</v>
      </c>
      <c r="E221" s="414" t="str">
        <f>VLOOKUP(D221,OfertaPlazas!B:D,3,FALSE)</f>
        <v>Luleå</v>
      </c>
      <c r="F221" s="398" t="s">
        <v>2489</v>
      </c>
      <c r="G221" s="411">
        <v>999876874</v>
      </c>
      <c r="H221" s="398" t="s">
        <v>76</v>
      </c>
      <c r="I221" s="398" t="s">
        <v>76</v>
      </c>
      <c r="J221" s="398" t="s">
        <v>76</v>
      </c>
      <c r="K221" s="390" t="s">
        <v>75</v>
      </c>
      <c r="L221" s="390" t="s">
        <v>75</v>
      </c>
      <c r="M221" s="390" t="s">
        <v>76</v>
      </c>
      <c r="N221" s="390" t="s">
        <v>75</v>
      </c>
      <c r="O221" s="390" t="s">
        <v>76</v>
      </c>
      <c r="P221" s="395" t="s">
        <v>2300</v>
      </c>
      <c r="Q221" s="456" t="s">
        <v>75</v>
      </c>
      <c r="R221" s="105" t="s">
        <v>2281</v>
      </c>
      <c r="S221" s="389" t="s">
        <v>2280</v>
      </c>
      <c r="T221" s="389" t="s">
        <v>2280</v>
      </c>
      <c r="U221" s="389">
        <v>1</v>
      </c>
      <c r="V221" s="389">
        <v>1</v>
      </c>
      <c r="W221" s="457">
        <v>44331</v>
      </c>
      <c r="X221" s="457">
        <v>44515</v>
      </c>
      <c r="Y221" s="457">
        <v>44348</v>
      </c>
      <c r="Z221" s="457">
        <v>44531</v>
      </c>
      <c r="AA221" s="103" t="s">
        <v>2282</v>
      </c>
      <c r="AB221" s="103" t="s">
        <v>2283</v>
      </c>
      <c r="AC221" s="458"/>
      <c r="AD221" s="458" t="s">
        <v>2284</v>
      </c>
      <c r="AE221" s="458" t="s">
        <v>2285</v>
      </c>
      <c r="AF221" s="458"/>
      <c r="AG221" s="459"/>
    </row>
    <row r="222" spans="1:33" ht="15.75" thickBot="1">
      <c r="A222" s="395"/>
      <c r="B222" s="398"/>
      <c r="C222" s="395"/>
      <c r="D222" s="410"/>
      <c r="E222" s="415"/>
      <c r="F222" s="398"/>
      <c r="G222" s="411"/>
      <c r="H222" s="398"/>
      <c r="I222" s="398"/>
      <c r="J222" s="398"/>
      <c r="K222" s="390"/>
      <c r="L222" s="390"/>
      <c r="M222" s="390"/>
      <c r="N222" s="390"/>
      <c r="O222" s="390"/>
      <c r="P222" s="395"/>
      <c r="Q222" s="456"/>
      <c r="R222" s="105" t="s">
        <v>2294</v>
      </c>
      <c r="S222" s="389"/>
      <c r="T222" s="389"/>
      <c r="U222" s="389"/>
      <c r="V222" s="389"/>
      <c r="W222" s="457"/>
      <c r="X222" s="457"/>
      <c r="Y222" s="457"/>
      <c r="Z222" s="457"/>
      <c r="AA222" s="103" t="s">
        <v>2286</v>
      </c>
      <c r="AB222" s="103" t="s">
        <v>2490</v>
      </c>
      <c r="AC222" s="458"/>
      <c r="AD222" s="458"/>
      <c r="AE222" s="458"/>
      <c r="AF222" s="458"/>
      <c r="AG222" s="459"/>
    </row>
    <row r="223" spans="1:33" ht="15.75" thickBot="1">
      <c r="A223" s="395" t="s">
        <v>2277</v>
      </c>
      <c r="B223" s="398" t="s">
        <v>2479</v>
      </c>
      <c r="C223" s="395" t="s">
        <v>1273</v>
      </c>
      <c r="D223" s="409" t="s">
        <v>1271</v>
      </c>
      <c r="E223" s="414" t="str">
        <f>VLOOKUP(D223,OfertaPlazas!B:D,3,FALSE)</f>
        <v>Lund</v>
      </c>
      <c r="F223" s="398" t="s">
        <v>1272</v>
      </c>
      <c r="G223" s="411">
        <v>999901318</v>
      </c>
      <c r="H223" s="398" t="s">
        <v>76</v>
      </c>
      <c r="I223" s="398" t="s">
        <v>76</v>
      </c>
      <c r="J223" s="398" t="s">
        <v>76</v>
      </c>
      <c r="K223" s="390" t="s">
        <v>75</v>
      </c>
      <c r="L223" s="390" t="s">
        <v>75</v>
      </c>
      <c r="M223" s="390" t="s">
        <v>76</v>
      </c>
      <c r="N223" s="390" t="s">
        <v>75</v>
      </c>
      <c r="O223" s="390" t="s">
        <v>76</v>
      </c>
      <c r="P223" s="395" t="s">
        <v>2290</v>
      </c>
      <c r="Q223" s="456" t="s">
        <v>75</v>
      </c>
      <c r="R223" s="421" t="s">
        <v>2281</v>
      </c>
      <c r="S223" s="389" t="s">
        <v>2291</v>
      </c>
      <c r="T223" s="389" t="s">
        <v>2291</v>
      </c>
      <c r="U223" s="389">
        <v>1</v>
      </c>
      <c r="V223" s="389">
        <v>1</v>
      </c>
      <c r="W223" s="457">
        <v>44331</v>
      </c>
      <c r="X223" s="457">
        <v>44515</v>
      </c>
      <c r="Y223" s="457">
        <v>44348</v>
      </c>
      <c r="Z223" s="457">
        <v>44531</v>
      </c>
      <c r="AA223" s="103" t="s">
        <v>2282</v>
      </c>
      <c r="AB223" s="103" t="s">
        <v>2283</v>
      </c>
      <c r="AC223" s="458"/>
      <c r="AD223" s="458" t="s">
        <v>2284</v>
      </c>
      <c r="AE223" s="458" t="s">
        <v>2285</v>
      </c>
      <c r="AF223" s="458"/>
      <c r="AG223" s="459"/>
    </row>
    <row r="224" spans="1:33" ht="15.75" thickBot="1">
      <c r="A224" s="395"/>
      <c r="B224" s="398"/>
      <c r="C224" s="395"/>
      <c r="D224" s="410"/>
      <c r="E224" s="415"/>
      <c r="F224" s="398"/>
      <c r="G224" s="411"/>
      <c r="H224" s="398"/>
      <c r="I224" s="398"/>
      <c r="J224" s="398"/>
      <c r="K224" s="390"/>
      <c r="L224" s="390"/>
      <c r="M224" s="390"/>
      <c r="N224" s="390"/>
      <c r="O224" s="390"/>
      <c r="P224" s="395"/>
      <c r="Q224" s="456"/>
      <c r="R224" s="421"/>
      <c r="S224" s="389"/>
      <c r="T224" s="389"/>
      <c r="U224" s="389"/>
      <c r="V224" s="389"/>
      <c r="W224" s="457"/>
      <c r="X224" s="457"/>
      <c r="Y224" s="457"/>
      <c r="Z224" s="457"/>
      <c r="AA224" s="103" t="s">
        <v>2286</v>
      </c>
      <c r="AB224" s="103" t="s">
        <v>2491</v>
      </c>
      <c r="AC224" s="458"/>
      <c r="AD224" s="458"/>
      <c r="AE224" s="458"/>
      <c r="AF224" s="458"/>
      <c r="AG224" s="459"/>
    </row>
    <row r="225" spans="1:33" ht="15.75" thickBot="1">
      <c r="A225" s="395" t="s">
        <v>2277</v>
      </c>
      <c r="B225" s="398" t="s">
        <v>2479</v>
      </c>
      <c r="C225" s="395" t="s">
        <v>2492</v>
      </c>
      <c r="D225" s="409" t="s">
        <v>1280</v>
      </c>
      <c r="E225" s="414" t="str">
        <f>VLOOKUP(D225,OfertaPlazas!B:D,3,FALSE)</f>
        <v>Estocolmo</v>
      </c>
      <c r="F225" s="398" t="s">
        <v>1281</v>
      </c>
      <c r="G225" s="411">
        <v>999990946</v>
      </c>
      <c r="H225" s="398" t="s">
        <v>76</v>
      </c>
      <c r="I225" s="398" t="s">
        <v>76</v>
      </c>
      <c r="J225" s="398" t="s">
        <v>76</v>
      </c>
      <c r="K225" s="390" t="s">
        <v>75</v>
      </c>
      <c r="L225" s="390" t="s">
        <v>75</v>
      </c>
      <c r="M225" s="389" t="s">
        <v>75</v>
      </c>
      <c r="N225" s="390" t="s">
        <v>75</v>
      </c>
      <c r="O225" s="389" t="s">
        <v>75</v>
      </c>
      <c r="P225" s="395" t="s">
        <v>2290</v>
      </c>
      <c r="Q225" s="456" t="s">
        <v>75</v>
      </c>
      <c r="R225" s="105" t="s">
        <v>2281</v>
      </c>
      <c r="S225" s="389" t="s">
        <v>2291</v>
      </c>
      <c r="T225" s="389" t="s">
        <v>2291</v>
      </c>
      <c r="U225" s="389">
        <v>1</v>
      </c>
      <c r="V225" s="389">
        <v>1</v>
      </c>
      <c r="W225" s="457">
        <v>44331</v>
      </c>
      <c r="X225" s="457">
        <v>44515</v>
      </c>
      <c r="Y225" s="457">
        <v>44348</v>
      </c>
      <c r="Z225" s="457">
        <v>44531</v>
      </c>
      <c r="AA225" s="103" t="s">
        <v>2282</v>
      </c>
      <c r="AB225" s="103" t="s">
        <v>2283</v>
      </c>
      <c r="AC225" s="458"/>
      <c r="AD225" s="458" t="s">
        <v>2284</v>
      </c>
      <c r="AE225" s="458" t="s">
        <v>2285</v>
      </c>
      <c r="AF225" s="458"/>
      <c r="AG225" s="420"/>
    </row>
    <row r="226" spans="1:33" ht="15.75" thickBot="1">
      <c r="A226" s="395"/>
      <c r="B226" s="398"/>
      <c r="C226" s="395"/>
      <c r="D226" s="410"/>
      <c r="E226" s="415"/>
      <c r="F226" s="398"/>
      <c r="G226" s="411"/>
      <c r="H226" s="398"/>
      <c r="I226" s="398"/>
      <c r="J226" s="398"/>
      <c r="K226" s="390"/>
      <c r="L226" s="390"/>
      <c r="M226" s="389"/>
      <c r="N226" s="390"/>
      <c r="O226" s="389"/>
      <c r="P226" s="395"/>
      <c r="Q226" s="456"/>
      <c r="R226" s="105" t="s">
        <v>2294</v>
      </c>
      <c r="S226" s="389"/>
      <c r="T226" s="389"/>
      <c r="U226" s="389"/>
      <c r="V226" s="389"/>
      <c r="W226" s="457"/>
      <c r="X226" s="457"/>
      <c r="Y226" s="457"/>
      <c r="Z226" s="457"/>
      <c r="AA226" s="103" t="s">
        <v>2286</v>
      </c>
      <c r="AB226" s="103" t="s">
        <v>2493</v>
      </c>
      <c r="AC226" s="458"/>
      <c r="AD226" s="458"/>
      <c r="AE226" s="458"/>
      <c r="AF226" s="458"/>
      <c r="AG226" s="420"/>
    </row>
    <row r="227" spans="1:33" ht="15.75" thickBot="1">
      <c r="A227" s="395" t="s">
        <v>2277</v>
      </c>
      <c r="B227" s="398" t="s">
        <v>1824</v>
      </c>
      <c r="C227" s="395" t="s">
        <v>1823</v>
      </c>
      <c r="D227" s="409" t="s">
        <v>1352</v>
      </c>
      <c r="E227" s="414" t="str">
        <f>VLOOKUP(D227,OfertaPlazas!B:D,3,FALSE)</f>
        <v>Istambul</v>
      </c>
      <c r="F227" s="398" t="s">
        <v>2494</v>
      </c>
      <c r="G227" s="411">
        <v>998796682</v>
      </c>
      <c r="H227" s="398" t="s">
        <v>76</v>
      </c>
      <c r="I227" s="398" t="s">
        <v>76</v>
      </c>
      <c r="J227" s="398" t="s">
        <v>76</v>
      </c>
      <c r="K227" s="390" t="s">
        <v>75</v>
      </c>
      <c r="L227" s="390" t="s">
        <v>76</v>
      </c>
      <c r="M227" s="390" t="s">
        <v>76</v>
      </c>
      <c r="N227" s="390" t="s">
        <v>75</v>
      </c>
      <c r="O227" s="390" t="s">
        <v>76</v>
      </c>
      <c r="P227" s="395" t="s">
        <v>2280</v>
      </c>
      <c r="Q227" s="456" t="s">
        <v>75</v>
      </c>
      <c r="R227" s="105" t="s">
        <v>2281</v>
      </c>
      <c r="S227" s="389" t="s">
        <v>2291</v>
      </c>
      <c r="T227" s="389" t="s">
        <v>2291</v>
      </c>
      <c r="U227" s="389">
        <v>1</v>
      </c>
      <c r="V227" s="389">
        <v>1</v>
      </c>
      <c r="W227" s="457">
        <v>44331</v>
      </c>
      <c r="X227" s="457">
        <v>44515</v>
      </c>
      <c r="Y227" s="457">
        <v>44348</v>
      </c>
      <c r="Z227" s="457">
        <v>44531</v>
      </c>
      <c r="AA227" s="103" t="s">
        <v>2282</v>
      </c>
      <c r="AB227" s="103" t="s">
        <v>2283</v>
      </c>
      <c r="AC227" s="458"/>
      <c r="AD227" s="458" t="s">
        <v>2284</v>
      </c>
      <c r="AE227" s="458" t="s">
        <v>2285</v>
      </c>
      <c r="AF227" s="458"/>
      <c r="AG227" s="459"/>
    </row>
    <row r="228" spans="1:33" ht="15.75" thickBot="1">
      <c r="A228" s="395"/>
      <c r="B228" s="398"/>
      <c r="C228" s="395"/>
      <c r="D228" s="410"/>
      <c r="E228" s="415"/>
      <c r="F228" s="398"/>
      <c r="G228" s="411"/>
      <c r="H228" s="398"/>
      <c r="I228" s="398"/>
      <c r="J228" s="398"/>
      <c r="K228" s="390"/>
      <c r="L228" s="390"/>
      <c r="M228" s="390"/>
      <c r="N228" s="390"/>
      <c r="O228" s="390"/>
      <c r="P228" s="395"/>
      <c r="Q228" s="456"/>
      <c r="R228" s="105" t="s">
        <v>2301</v>
      </c>
      <c r="S228" s="389"/>
      <c r="T228" s="389"/>
      <c r="U228" s="389"/>
      <c r="V228" s="389"/>
      <c r="W228" s="457"/>
      <c r="X228" s="457"/>
      <c r="Y228" s="457"/>
      <c r="Z228" s="457"/>
      <c r="AA228" s="103" t="s">
        <v>2286</v>
      </c>
      <c r="AB228" s="103" t="s">
        <v>2495</v>
      </c>
      <c r="AC228" s="458"/>
      <c r="AD228" s="458"/>
      <c r="AE228" s="458"/>
      <c r="AF228" s="458"/>
      <c r="AG228" s="459"/>
    </row>
    <row r="229" spans="1:33" ht="15.75" thickBot="1">
      <c r="A229" s="395" t="s">
        <v>2277</v>
      </c>
      <c r="B229" s="398" t="s">
        <v>1824</v>
      </c>
      <c r="C229" s="395" t="s">
        <v>1823</v>
      </c>
      <c r="D229" s="409" t="s">
        <v>1366</v>
      </c>
      <c r="E229" s="414" t="str">
        <f>VLOOKUP(D229,OfertaPlazas!B:D,3,FALSE)</f>
        <v>Istambul</v>
      </c>
      <c r="F229" s="398" t="s">
        <v>1366</v>
      </c>
      <c r="G229" s="411">
        <v>998027666</v>
      </c>
      <c r="H229" s="398" t="s">
        <v>76</v>
      </c>
      <c r="I229" s="398" t="s">
        <v>76</v>
      </c>
      <c r="J229" s="398" t="s">
        <v>76</v>
      </c>
      <c r="K229" s="390" t="s">
        <v>75</v>
      </c>
      <c r="L229" s="390" t="s">
        <v>75</v>
      </c>
      <c r="M229" s="390" t="s">
        <v>76</v>
      </c>
      <c r="N229" s="390" t="s">
        <v>75</v>
      </c>
      <c r="O229" s="390" t="s">
        <v>76</v>
      </c>
      <c r="P229" s="395" t="s">
        <v>2291</v>
      </c>
      <c r="Q229" s="456" t="s">
        <v>75</v>
      </c>
      <c r="R229" s="105" t="s">
        <v>2281</v>
      </c>
      <c r="S229" s="389" t="s">
        <v>2291</v>
      </c>
      <c r="T229" s="389" t="s">
        <v>2291</v>
      </c>
      <c r="U229" s="389">
        <v>1</v>
      </c>
      <c r="V229" s="389">
        <v>1</v>
      </c>
      <c r="W229" s="457">
        <v>44331</v>
      </c>
      <c r="X229" s="457">
        <v>44515</v>
      </c>
      <c r="Y229" s="457">
        <v>44348</v>
      </c>
      <c r="Z229" s="457">
        <v>44531</v>
      </c>
      <c r="AA229" s="103" t="s">
        <v>2282</v>
      </c>
      <c r="AB229" s="103" t="s">
        <v>2283</v>
      </c>
      <c r="AC229" s="458"/>
      <c r="AD229" s="458" t="s">
        <v>2284</v>
      </c>
      <c r="AE229" s="458" t="s">
        <v>2285</v>
      </c>
      <c r="AF229" s="458"/>
      <c r="AG229" s="459"/>
    </row>
    <row r="230" spans="1:33" ht="15.75" thickBot="1">
      <c r="A230" s="395"/>
      <c r="B230" s="398"/>
      <c r="C230" s="395"/>
      <c r="D230" s="410"/>
      <c r="E230" s="415"/>
      <c r="F230" s="398"/>
      <c r="G230" s="411"/>
      <c r="H230" s="398"/>
      <c r="I230" s="398"/>
      <c r="J230" s="398"/>
      <c r="K230" s="390"/>
      <c r="L230" s="390"/>
      <c r="M230" s="390"/>
      <c r="N230" s="390"/>
      <c r="O230" s="390"/>
      <c r="P230" s="395"/>
      <c r="Q230" s="456"/>
      <c r="R230" s="105" t="s">
        <v>2294</v>
      </c>
      <c r="S230" s="389"/>
      <c r="T230" s="389"/>
      <c r="U230" s="389"/>
      <c r="V230" s="389"/>
      <c r="W230" s="457"/>
      <c r="X230" s="457"/>
      <c r="Y230" s="457"/>
      <c r="Z230" s="457"/>
      <c r="AA230" s="103" t="s">
        <v>2286</v>
      </c>
      <c r="AB230" s="103" t="s">
        <v>2397</v>
      </c>
      <c r="AC230" s="458"/>
      <c r="AD230" s="458"/>
      <c r="AE230" s="458"/>
      <c r="AF230" s="458"/>
      <c r="AG230" s="459"/>
    </row>
    <row r="231" spans="1:33" ht="15.75" thickBot="1">
      <c r="A231" s="395" t="s">
        <v>2277</v>
      </c>
      <c r="B231" s="398" t="s">
        <v>1824</v>
      </c>
      <c r="C231" s="395" t="s">
        <v>1823</v>
      </c>
      <c r="D231" s="409" t="s">
        <v>1358</v>
      </c>
      <c r="E231" s="414" t="str">
        <f>VLOOKUP(D231,OfertaPlazas!B:D,3,FALSE)</f>
        <v>Istambul</v>
      </c>
      <c r="F231" s="398" t="s">
        <v>2496</v>
      </c>
      <c r="G231" s="411">
        <v>997203651</v>
      </c>
      <c r="H231" s="398" t="s">
        <v>76</v>
      </c>
      <c r="I231" s="398" t="s">
        <v>76</v>
      </c>
      <c r="J231" s="398" t="s">
        <v>76</v>
      </c>
      <c r="K231" s="390" t="s">
        <v>75</v>
      </c>
      <c r="L231" s="390" t="s">
        <v>76</v>
      </c>
      <c r="M231" s="390" t="s">
        <v>76</v>
      </c>
      <c r="N231" s="390" t="s">
        <v>75</v>
      </c>
      <c r="O231" s="390" t="s">
        <v>76</v>
      </c>
      <c r="P231" s="395" t="s">
        <v>2290</v>
      </c>
      <c r="Q231" s="456" t="s">
        <v>75</v>
      </c>
      <c r="R231" s="105" t="s">
        <v>2281</v>
      </c>
      <c r="S231" s="389" t="s">
        <v>2291</v>
      </c>
      <c r="T231" s="389" t="s">
        <v>2291</v>
      </c>
      <c r="U231" s="389">
        <v>1</v>
      </c>
      <c r="V231" s="389">
        <v>1</v>
      </c>
      <c r="W231" s="457">
        <v>44331</v>
      </c>
      <c r="X231" s="457">
        <v>44515</v>
      </c>
      <c r="Y231" s="457">
        <v>44348</v>
      </c>
      <c r="Z231" s="457">
        <v>44531</v>
      </c>
      <c r="AA231" s="103" t="s">
        <v>2282</v>
      </c>
      <c r="AB231" s="103" t="s">
        <v>2283</v>
      </c>
      <c r="AC231" s="458"/>
      <c r="AD231" s="458" t="s">
        <v>2284</v>
      </c>
      <c r="AE231" s="458" t="s">
        <v>2285</v>
      </c>
      <c r="AF231" s="458"/>
      <c r="AG231" s="459"/>
    </row>
    <row r="232" spans="1:33" ht="15.75" thickBot="1">
      <c r="A232" s="395"/>
      <c r="B232" s="398"/>
      <c r="C232" s="395"/>
      <c r="D232" s="410"/>
      <c r="E232" s="415"/>
      <c r="F232" s="398"/>
      <c r="G232" s="411"/>
      <c r="H232" s="398"/>
      <c r="I232" s="398"/>
      <c r="J232" s="398"/>
      <c r="K232" s="390"/>
      <c r="L232" s="390"/>
      <c r="M232" s="390"/>
      <c r="N232" s="390"/>
      <c r="O232" s="390"/>
      <c r="P232" s="395"/>
      <c r="Q232" s="456"/>
      <c r="R232" s="105" t="s">
        <v>2301</v>
      </c>
      <c r="S232" s="389"/>
      <c r="T232" s="389"/>
      <c r="U232" s="389"/>
      <c r="V232" s="389"/>
      <c r="W232" s="457"/>
      <c r="X232" s="457"/>
      <c r="Y232" s="457"/>
      <c r="Z232" s="457"/>
      <c r="AA232" s="103" t="s">
        <v>2286</v>
      </c>
      <c r="AB232" s="103" t="s">
        <v>2397</v>
      </c>
      <c r="AC232" s="458"/>
      <c r="AD232" s="458"/>
      <c r="AE232" s="458"/>
      <c r="AF232" s="458"/>
      <c r="AG232" s="459"/>
    </row>
    <row r="233" spans="1:33" ht="15.75" thickBot="1">
      <c r="A233" s="395" t="s">
        <v>2277</v>
      </c>
      <c r="B233" s="398" t="s">
        <v>1824</v>
      </c>
      <c r="C233" s="395" t="s">
        <v>1380</v>
      </c>
      <c r="D233" s="409" t="s">
        <v>1378</v>
      </c>
      <c r="E233" s="414" t="str">
        <f>VLOOKUP(D233,OfertaPlazas!B:D,3,FALSE)</f>
        <v>Tekirdag</v>
      </c>
      <c r="F233" s="398" t="s">
        <v>2497</v>
      </c>
      <c r="G233" s="411">
        <v>985938362</v>
      </c>
      <c r="H233" s="398" t="s">
        <v>76</v>
      </c>
      <c r="I233" s="398" t="s">
        <v>76</v>
      </c>
      <c r="J233" s="398" t="s">
        <v>76</v>
      </c>
      <c r="K233" s="390" t="s">
        <v>75</v>
      </c>
      <c r="L233" s="390" t="s">
        <v>75</v>
      </c>
      <c r="M233" s="390" t="s">
        <v>76</v>
      </c>
      <c r="N233" s="390" t="s">
        <v>75</v>
      </c>
      <c r="O233" s="390" t="s">
        <v>76</v>
      </c>
      <c r="P233" s="395" t="s">
        <v>2373</v>
      </c>
      <c r="Q233" s="456" t="s">
        <v>75</v>
      </c>
      <c r="R233" s="105" t="s">
        <v>2281</v>
      </c>
      <c r="S233" s="389" t="s">
        <v>2291</v>
      </c>
      <c r="T233" s="389" t="s">
        <v>2291</v>
      </c>
      <c r="U233" s="389">
        <v>1</v>
      </c>
      <c r="V233" s="389">
        <v>1</v>
      </c>
      <c r="W233" s="457">
        <v>44331</v>
      </c>
      <c r="X233" s="457">
        <v>44515</v>
      </c>
      <c r="Y233" s="457">
        <v>44348</v>
      </c>
      <c r="Z233" s="457">
        <v>44531</v>
      </c>
      <c r="AA233" s="103" t="s">
        <v>2282</v>
      </c>
      <c r="AB233" s="103" t="s">
        <v>2283</v>
      </c>
      <c r="AC233" s="458"/>
      <c r="AD233" s="458" t="s">
        <v>2284</v>
      </c>
      <c r="AE233" s="458" t="s">
        <v>2285</v>
      </c>
      <c r="AF233" s="458"/>
      <c r="AG233" s="459"/>
    </row>
    <row r="234" spans="1:33" ht="15.75" thickBot="1">
      <c r="A234" s="395"/>
      <c r="B234" s="398"/>
      <c r="C234" s="395"/>
      <c r="D234" s="410"/>
      <c r="E234" s="415"/>
      <c r="F234" s="398"/>
      <c r="G234" s="411"/>
      <c r="H234" s="398"/>
      <c r="I234" s="398"/>
      <c r="J234" s="398"/>
      <c r="K234" s="390"/>
      <c r="L234" s="390"/>
      <c r="M234" s="390"/>
      <c r="N234" s="390"/>
      <c r="O234" s="390"/>
      <c r="P234" s="395"/>
      <c r="Q234" s="456"/>
      <c r="R234" s="105" t="s">
        <v>2301</v>
      </c>
      <c r="S234" s="389"/>
      <c r="T234" s="389"/>
      <c r="U234" s="389"/>
      <c r="V234" s="389"/>
      <c r="W234" s="457"/>
      <c r="X234" s="457"/>
      <c r="Y234" s="457"/>
      <c r="Z234" s="457"/>
      <c r="AA234" s="103" t="s">
        <v>2286</v>
      </c>
      <c r="AB234" s="103" t="s">
        <v>2397</v>
      </c>
      <c r="AC234" s="458"/>
      <c r="AD234" s="458"/>
      <c r="AE234" s="458"/>
      <c r="AF234" s="458"/>
      <c r="AG234" s="459"/>
    </row>
    <row r="235" spans="1:33" ht="30.75" thickBot="1">
      <c r="A235" s="395" t="s">
        <v>2277</v>
      </c>
      <c r="B235" s="398" t="s">
        <v>1824</v>
      </c>
      <c r="C235" s="395" t="s">
        <v>1823</v>
      </c>
      <c r="D235" s="412"/>
      <c r="E235" s="422"/>
      <c r="F235" s="419" t="s">
        <v>1341</v>
      </c>
      <c r="G235" s="411"/>
      <c r="H235" s="398" t="s">
        <v>76</v>
      </c>
      <c r="I235" s="398" t="s">
        <v>76</v>
      </c>
      <c r="J235" s="398" t="s">
        <v>76</v>
      </c>
      <c r="K235" s="390" t="s">
        <v>75</v>
      </c>
      <c r="L235" s="390" t="s">
        <v>75</v>
      </c>
      <c r="M235" s="390" t="s">
        <v>75</v>
      </c>
      <c r="N235" s="390" t="s">
        <v>75</v>
      </c>
      <c r="O235" s="390" t="s">
        <v>75</v>
      </c>
      <c r="P235" s="395" t="s">
        <v>2291</v>
      </c>
      <c r="Q235" s="418" t="s">
        <v>2395</v>
      </c>
      <c r="R235" s="105" t="s">
        <v>2281</v>
      </c>
      <c r="S235" s="389" t="s">
        <v>2291</v>
      </c>
      <c r="T235" s="389" t="s">
        <v>2291</v>
      </c>
      <c r="U235" s="389">
        <v>1</v>
      </c>
      <c r="V235" s="389">
        <v>1</v>
      </c>
      <c r="W235" s="457">
        <v>44331</v>
      </c>
      <c r="X235" s="457">
        <v>44515</v>
      </c>
      <c r="Y235" s="457">
        <v>44348</v>
      </c>
      <c r="Z235" s="457">
        <v>44531</v>
      </c>
      <c r="AA235" s="113" t="s">
        <v>2282</v>
      </c>
      <c r="AB235" s="113" t="s">
        <v>2283</v>
      </c>
      <c r="AC235" s="458"/>
      <c r="AD235" s="458" t="s">
        <v>2284</v>
      </c>
      <c r="AE235" s="388" t="s">
        <v>2285</v>
      </c>
      <c r="AF235" s="458"/>
      <c r="AG235" s="459" t="s">
        <v>2398</v>
      </c>
    </row>
    <row r="236" spans="1:33" ht="15.75" thickBot="1">
      <c r="A236" s="395"/>
      <c r="B236" s="398"/>
      <c r="C236" s="395"/>
      <c r="D236" s="413"/>
      <c r="E236" s="423"/>
      <c r="F236" s="419"/>
      <c r="G236" s="411"/>
      <c r="H236" s="398"/>
      <c r="I236" s="398"/>
      <c r="J236" s="398"/>
      <c r="K236" s="390"/>
      <c r="L236" s="390"/>
      <c r="M236" s="390"/>
      <c r="N236" s="390"/>
      <c r="O236" s="390"/>
      <c r="P236" s="395"/>
      <c r="Q236" s="418"/>
      <c r="R236" s="105" t="s">
        <v>2303</v>
      </c>
      <c r="S236" s="389"/>
      <c r="T236" s="389"/>
      <c r="U236" s="389"/>
      <c r="V236" s="389"/>
      <c r="W236" s="457"/>
      <c r="X236" s="457"/>
      <c r="Y236" s="457"/>
      <c r="Z236" s="457"/>
      <c r="AA236" s="113" t="s">
        <v>2286</v>
      </c>
      <c r="AB236" s="113" t="s">
        <v>2397</v>
      </c>
      <c r="AC236" s="458"/>
      <c r="AD236" s="458"/>
      <c r="AE236" s="388"/>
      <c r="AF236" s="458"/>
      <c r="AG236" s="459"/>
    </row>
    <row r="237" spans="1:33">
      <c r="A237" s="399" t="s">
        <v>2277</v>
      </c>
      <c r="B237" s="401" t="s">
        <v>1809</v>
      </c>
      <c r="C237" s="403" t="s">
        <v>624</v>
      </c>
      <c r="D237" s="405" t="s">
        <v>633</v>
      </c>
      <c r="E237" s="407" t="s">
        <v>2498</v>
      </c>
      <c r="F237" s="396" t="s">
        <v>1478</v>
      </c>
      <c r="G237" s="396"/>
      <c r="H237" s="398" t="s">
        <v>76</v>
      </c>
      <c r="I237" s="398" t="s">
        <v>76</v>
      </c>
      <c r="J237" s="398" t="s">
        <v>76</v>
      </c>
      <c r="K237" s="393" t="s">
        <v>75</v>
      </c>
      <c r="L237" s="393" t="s">
        <v>75</v>
      </c>
      <c r="M237" s="393" t="s">
        <v>75</v>
      </c>
      <c r="N237" s="393" t="s">
        <v>75</v>
      </c>
      <c r="O237" s="393" t="s">
        <v>75</v>
      </c>
      <c r="P237" s="395" t="s">
        <v>2291</v>
      </c>
      <c r="Q237" s="456" t="s">
        <v>75</v>
      </c>
      <c r="R237" s="139" t="s">
        <v>2281</v>
      </c>
      <c r="S237" s="389" t="s">
        <v>2291</v>
      </c>
      <c r="T237" s="391" t="s">
        <v>2499</v>
      </c>
      <c r="U237" s="389">
        <v>1</v>
      </c>
      <c r="V237" s="389">
        <v>1</v>
      </c>
      <c r="W237" s="460">
        <v>44301</v>
      </c>
      <c r="X237" s="460">
        <v>44500</v>
      </c>
      <c r="Y237" s="460">
        <v>44500</v>
      </c>
      <c r="Z237" s="460">
        <v>44500</v>
      </c>
      <c r="AA237" s="113" t="s">
        <v>2282</v>
      </c>
      <c r="AB237" s="140" t="s">
        <v>145</v>
      </c>
      <c r="AC237" s="461"/>
      <c r="AD237" s="461" t="s">
        <v>2284</v>
      </c>
      <c r="AE237" s="461" t="s">
        <v>2285</v>
      </c>
      <c r="AF237" s="461"/>
      <c r="AG237" s="462"/>
    </row>
    <row r="238" spans="1:33" ht="15.75" thickBot="1">
      <c r="A238" s="400"/>
      <c r="B238" s="402"/>
      <c r="C238" s="404"/>
      <c r="D238" s="406"/>
      <c r="E238" s="408"/>
      <c r="F238" s="397"/>
      <c r="G238" s="397"/>
      <c r="H238" s="398"/>
      <c r="I238" s="398"/>
      <c r="J238" s="398"/>
      <c r="K238" s="394"/>
      <c r="L238" s="394"/>
      <c r="M238" s="394"/>
      <c r="N238" s="394"/>
      <c r="O238" s="394"/>
      <c r="P238" s="395"/>
      <c r="Q238" s="456"/>
      <c r="R238" s="141"/>
      <c r="S238" s="389"/>
      <c r="T238" s="392"/>
      <c r="U238" s="389"/>
      <c r="V238" s="389"/>
      <c r="W238" s="463"/>
      <c r="X238" s="463"/>
      <c r="Y238" s="463"/>
      <c r="Z238" s="463"/>
      <c r="AA238" s="113" t="s">
        <v>2286</v>
      </c>
      <c r="AB238" s="142"/>
      <c r="AC238" s="464"/>
      <c r="AD238" s="464"/>
      <c r="AE238" s="464"/>
      <c r="AF238" s="464"/>
      <c r="AG238" s="465"/>
    </row>
  </sheetData>
  <autoFilter ref="A1:AG238" xr:uid="{00000000-0009-0000-0000-000005000000}"/>
  <mergeCells count="3378">
    <mergeCell ref="E229:E230"/>
    <mergeCell ref="E231:E232"/>
    <mergeCell ref="E233:E234"/>
    <mergeCell ref="E235:E236"/>
    <mergeCell ref="E188:E189"/>
    <mergeCell ref="E190:E191"/>
    <mergeCell ref="E192:E193"/>
    <mergeCell ref="E194:E196"/>
    <mergeCell ref="E197:E198"/>
    <mergeCell ref="H2:H3"/>
    <mergeCell ref="I2:I3"/>
    <mergeCell ref="E2:E3"/>
    <mergeCell ref="G2:G3"/>
    <mergeCell ref="D2:D3"/>
    <mergeCell ref="E4:E5"/>
    <mergeCell ref="E6:E7"/>
    <mergeCell ref="E8:E9"/>
    <mergeCell ref="E10:E11"/>
    <mergeCell ref="E12:E13"/>
    <mergeCell ref="E14:E15"/>
    <mergeCell ref="E80:E81"/>
    <mergeCell ref="E82:E83"/>
    <mergeCell ref="E84:E85"/>
    <mergeCell ref="E86:E87"/>
    <mergeCell ref="E88:E89"/>
    <mergeCell ref="E90:E91"/>
    <mergeCell ref="H20:H21"/>
    <mergeCell ref="I20:I21"/>
    <mergeCell ref="G20:G21"/>
    <mergeCell ref="D20:D21"/>
    <mergeCell ref="E20:E21"/>
    <mergeCell ref="H31:H32"/>
    <mergeCell ref="AD2:AD3"/>
    <mergeCell ref="AE2:AE3"/>
    <mergeCell ref="AF2:AF3"/>
    <mergeCell ref="AG2:AG3"/>
    <mergeCell ref="A4:A5"/>
    <mergeCell ref="B4:B5"/>
    <mergeCell ref="C4:C5"/>
    <mergeCell ref="F4:F5"/>
    <mergeCell ref="H4:H5"/>
    <mergeCell ref="I4:I5"/>
    <mergeCell ref="V2:V3"/>
    <mergeCell ref="W2:W3"/>
    <mergeCell ref="X2:X3"/>
    <mergeCell ref="Y2:Y3"/>
    <mergeCell ref="Z2:Z3"/>
    <mergeCell ref="AC2:AC3"/>
    <mergeCell ref="P2:P3"/>
    <mergeCell ref="Q2:Q3"/>
    <mergeCell ref="R2:R3"/>
    <mergeCell ref="S2:S3"/>
    <mergeCell ref="T2:T3"/>
    <mergeCell ref="U2:U3"/>
    <mergeCell ref="J2:J3"/>
    <mergeCell ref="K2:K3"/>
    <mergeCell ref="L2:L3"/>
    <mergeCell ref="M2:M3"/>
    <mergeCell ref="N2:N3"/>
    <mergeCell ref="O2:O3"/>
    <mergeCell ref="A2:A3"/>
    <mergeCell ref="B2:B3"/>
    <mergeCell ref="C2:C3"/>
    <mergeCell ref="F2:F3"/>
    <mergeCell ref="AD4:AD5"/>
    <mergeCell ref="AE4:AE5"/>
    <mergeCell ref="AF4:AF5"/>
    <mergeCell ref="AG4:AG5"/>
    <mergeCell ref="A6:A7"/>
    <mergeCell ref="B6:B7"/>
    <mergeCell ref="C6:C7"/>
    <mergeCell ref="F6:F7"/>
    <mergeCell ref="H6:H7"/>
    <mergeCell ref="I6:I7"/>
    <mergeCell ref="V4:V5"/>
    <mergeCell ref="W4:W5"/>
    <mergeCell ref="X4:X5"/>
    <mergeCell ref="Y4:Y5"/>
    <mergeCell ref="Z4:Z5"/>
    <mergeCell ref="AC4:AC5"/>
    <mergeCell ref="P4:P5"/>
    <mergeCell ref="Q4:Q5"/>
    <mergeCell ref="R4:R5"/>
    <mergeCell ref="S4:S5"/>
    <mergeCell ref="T4:T5"/>
    <mergeCell ref="U4:U5"/>
    <mergeCell ref="J4:J5"/>
    <mergeCell ref="K4:K5"/>
    <mergeCell ref="L4:L5"/>
    <mergeCell ref="M4:M5"/>
    <mergeCell ref="N4:N5"/>
    <mergeCell ref="O4:O5"/>
    <mergeCell ref="AD6:AD7"/>
    <mergeCell ref="AE6:AE7"/>
    <mergeCell ref="AF6:AF7"/>
    <mergeCell ref="AG6:AG7"/>
    <mergeCell ref="A8:A9"/>
    <mergeCell ref="B8:B9"/>
    <mergeCell ref="C8:C9"/>
    <mergeCell ref="F8:F9"/>
    <mergeCell ref="H8:H9"/>
    <mergeCell ref="I8:I9"/>
    <mergeCell ref="V6:V7"/>
    <mergeCell ref="W6:W7"/>
    <mergeCell ref="X6:X7"/>
    <mergeCell ref="Y6:Y7"/>
    <mergeCell ref="Z6:Z7"/>
    <mergeCell ref="AC6:AC7"/>
    <mergeCell ref="P6:P7"/>
    <mergeCell ref="Q6:Q7"/>
    <mergeCell ref="R6:R7"/>
    <mergeCell ref="S6:S7"/>
    <mergeCell ref="T6:T7"/>
    <mergeCell ref="U6:U7"/>
    <mergeCell ref="J6:J7"/>
    <mergeCell ref="K6:K7"/>
    <mergeCell ref="L6:L7"/>
    <mergeCell ref="M6:M7"/>
    <mergeCell ref="N6:N7"/>
    <mergeCell ref="O6:O7"/>
    <mergeCell ref="G6:G7"/>
    <mergeCell ref="D6:D7"/>
    <mergeCell ref="AD8:AD9"/>
    <mergeCell ref="AE8:AE9"/>
    <mergeCell ref="AF8:AF9"/>
    <mergeCell ref="AG8:AG9"/>
    <mergeCell ref="A10:A11"/>
    <mergeCell ref="B10:B11"/>
    <mergeCell ref="C10:C11"/>
    <mergeCell ref="F10:F11"/>
    <mergeCell ref="H10:H11"/>
    <mergeCell ref="I10:I11"/>
    <mergeCell ref="V8:V9"/>
    <mergeCell ref="W8:W9"/>
    <mergeCell ref="X8:X9"/>
    <mergeCell ref="Y8:Y9"/>
    <mergeCell ref="Z8:Z9"/>
    <mergeCell ref="AC8:AC9"/>
    <mergeCell ref="P8:P9"/>
    <mergeCell ref="Q8:Q9"/>
    <mergeCell ref="R8:R9"/>
    <mergeCell ref="S8:S9"/>
    <mergeCell ref="T8:T9"/>
    <mergeCell ref="U8:U9"/>
    <mergeCell ref="J8:J9"/>
    <mergeCell ref="K8:K9"/>
    <mergeCell ref="L8:L9"/>
    <mergeCell ref="M8:M9"/>
    <mergeCell ref="N8:N9"/>
    <mergeCell ref="O8:O9"/>
    <mergeCell ref="AD10:AD11"/>
    <mergeCell ref="AE10:AE11"/>
    <mergeCell ref="AF10:AF11"/>
    <mergeCell ref="AG10:AG11"/>
    <mergeCell ref="A12:A13"/>
    <mergeCell ref="B12:B13"/>
    <mergeCell ref="C12:C13"/>
    <mergeCell ref="F12:F13"/>
    <mergeCell ref="H12:H13"/>
    <mergeCell ref="I12:I13"/>
    <mergeCell ref="V10:V11"/>
    <mergeCell ref="W10:W11"/>
    <mergeCell ref="X10:X11"/>
    <mergeCell ref="Y10:Y11"/>
    <mergeCell ref="Z10:Z11"/>
    <mergeCell ref="AC10:AC11"/>
    <mergeCell ref="P10:P11"/>
    <mergeCell ref="Q10:Q11"/>
    <mergeCell ref="R10:R11"/>
    <mergeCell ref="S10:S11"/>
    <mergeCell ref="T10:T11"/>
    <mergeCell ref="U10:U11"/>
    <mergeCell ref="J10:J11"/>
    <mergeCell ref="K10:K11"/>
    <mergeCell ref="L10:L11"/>
    <mergeCell ref="M10:M11"/>
    <mergeCell ref="N10:N11"/>
    <mergeCell ref="O10:O11"/>
    <mergeCell ref="G10:G11"/>
    <mergeCell ref="D10:D11"/>
    <mergeCell ref="AE12:AE13"/>
    <mergeCell ref="AF12:AF13"/>
    <mergeCell ref="AG12:AG13"/>
    <mergeCell ref="A14:A15"/>
    <mergeCell ref="B14:B15"/>
    <mergeCell ref="C14:C15"/>
    <mergeCell ref="F14:F15"/>
    <mergeCell ref="H14:H15"/>
    <mergeCell ref="I14:I15"/>
    <mergeCell ref="J14:J15"/>
    <mergeCell ref="W12:W13"/>
    <mergeCell ref="X12:X13"/>
    <mergeCell ref="Y12:Y13"/>
    <mergeCell ref="Z12:Z13"/>
    <mergeCell ref="AC12:AC13"/>
    <mergeCell ref="AD12:AD13"/>
    <mergeCell ref="P12:P13"/>
    <mergeCell ref="Q12:Q13"/>
    <mergeCell ref="S12:S13"/>
    <mergeCell ref="T12:T13"/>
    <mergeCell ref="U12:U13"/>
    <mergeCell ref="V12:V13"/>
    <mergeCell ref="J12:J13"/>
    <mergeCell ref="K12:K13"/>
    <mergeCell ref="L12:L13"/>
    <mergeCell ref="M12:M13"/>
    <mergeCell ref="N12:N13"/>
    <mergeCell ref="O12:O13"/>
    <mergeCell ref="AF14:AF15"/>
    <mergeCell ref="AG14:AG15"/>
    <mergeCell ref="G12:G13"/>
    <mergeCell ref="D12:D13"/>
    <mergeCell ref="A16:A17"/>
    <mergeCell ref="B16:B17"/>
    <mergeCell ref="C16:C17"/>
    <mergeCell ref="F16:F17"/>
    <mergeCell ref="H16:H17"/>
    <mergeCell ref="I16:I17"/>
    <mergeCell ref="J16:J17"/>
    <mergeCell ref="K16:K17"/>
    <mergeCell ref="X14:X15"/>
    <mergeCell ref="Y14:Y15"/>
    <mergeCell ref="Z14:Z15"/>
    <mergeCell ref="AC14:AC15"/>
    <mergeCell ref="AD14:AD15"/>
    <mergeCell ref="AE14:AE15"/>
    <mergeCell ref="Q14:Q15"/>
    <mergeCell ref="S14:S15"/>
    <mergeCell ref="T14:T15"/>
    <mergeCell ref="U14:U15"/>
    <mergeCell ref="V14:V15"/>
    <mergeCell ref="W14:W15"/>
    <mergeCell ref="K14:K15"/>
    <mergeCell ref="L14:L15"/>
    <mergeCell ref="M14:M15"/>
    <mergeCell ref="N14:N15"/>
    <mergeCell ref="O14:O15"/>
    <mergeCell ref="P14:P15"/>
    <mergeCell ref="E16:E17"/>
    <mergeCell ref="G16:G17"/>
    <mergeCell ref="D16:D17"/>
    <mergeCell ref="G14:G15"/>
    <mergeCell ref="D14:D15"/>
    <mergeCell ref="AG16:AG17"/>
    <mergeCell ref="A18:A19"/>
    <mergeCell ref="B18:B19"/>
    <mergeCell ref="C18:C19"/>
    <mergeCell ref="F18:F19"/>
    <mergeCell ref="H18:H19"/>
    <mergeCell ref="I18:I19"/>
    <mergeCell ref="J18:J19"/>
    <mergeCell ref="K18:K19"/>
    <mergeCell ref="L18:L19"/>
    <mergeCell ref="Y16:Y17"/>
    <mergeCell ref="Z16:Z17"/>
    <mergeCell ref="AC16:AC17"/>
    <mergeCell ref="AD16:AD17"/>
    <mergeCell ref="AE16:AE17"/>
    <mergeCell ref="AF16:AF17"/>
    <mergeCell ref="S16:S17"/>
    <mergeCell ref="T16:T17"/>
    <mergeCell ref="U16:U17"/>
    <mergeCell ref="V16:V17"/>
    <mergeCell ref="W16:W17"/>
    <mergeCell ref="X16:X17"/>
    <mergeCell ref="L16:L17"/>
    <mergeCell ref="M16:M17"/>
    <mergeCell ref="N16:N17"/>
    <mergeCell ref="O16:O17"/>
    <mergeCell ref="P16:P17"/>
    <mergeCell ref="Q16:Q17"/>
    <mergeCell ref="Z18:Z19"/>
    <mergeCell ref="AC18:AC19"/>
    <mergeCell ref="AD18:AD19"/>
    <mergeCell ref="AE18:AE19"/>
    <mergeCell ref="AF18:AF19"/>
    <mergeCell ref="AG18:AG19"/>
    <mergeCell ref="T18:T19"/>
    <mergeCell ref="U18:U19"/>
    <mergeCell ref="V18:V19"/>
    <mergeCell ref="W18:W19"/>
    <mergeCell ref="X18:X19"/>
    <mergeCell ref="Y18:Y19"/>
    <mergeCell ref="M18:M19"/>
    <mergeCell ref="N18:N19"/>
    <mergeCell ref="O18:O19"/>
    <mergeCell ref="P18:P19"/>
    <mergeCell ref="Q18:Q19"/>
    <mergeCell ref="S18:S19"/>
    <mergeCell ref="AD20:AD21"/>
    <mergeCell ref="AE20:AE21"/>
    <mergeCell ref="AF20:AF21"/>
    <mergeCell ref="AG20:AG21"/>
    <mergeCell ref="A22:A24"/>
    <mergeCell ref="B22:B24"/>
    <mergeCell ref="C22:C24"/>
    <mergeCell ref="F22:F24"/>
    <mergeCell ref="H22:H24"/>
    <mergeCell ref="I22:I24"/>
    <mergeCell ref="V20:V21"/>
    <mergeCell ref="W20:W21"/>
    <mergeCell ref="X20:X21"/>
    <mergeCell ref="Y20:Y21"/>
    <mergeCell ref="Z20:Z21"/>
    <mergeCell ref="AC20:AC21"/>
    <mergeCell ref="P20:P21"/>
    <mergeCell ref="Q20:Q21"/>
    <mergeCell ref="R20:R21"/>
    <mergeCell ref="S20:S21"/>
    <mergeCell ref="T20:T21"/>
    <mergeCell ref="U20:U21"/>
    <mergeCell ref="J20:J21"/>
    <mergeCell ref="K20:K21"/>
    <mergeCell ref="L20:L21"/>
    <mergeCell ref="M20:M21"/>
    <mergeCell ref="N20:N21"/>
    <mergeCell ref="O20:O21"/>
    <mergeCell ref="A20:A21"/>
    <mergeCell ref="B20:B21"/>
    <mergeCell ref="C20:C21"/>
    <mergeCell ref="F20:F21"/>
    <mergeCell ref="AE22:AE24"/>
    <mergeCell ref="AF22:AF24"/>
    <mergeCell ref="AG22:AG24"/>
    <mergeCell ref="A25:A26"/>
    <mergeCell ref="B25:B26"/>
    <mergeCell ref="C25:C26"/>
    <mergeCell ref="F25:F26"/>
    <mergeCell ref="H25:H26"/>
    <mergeCell ref="I25:I26"/>
    <mergeCell ref="J25:J26"/>
    <mergeCell ref="W22:W24"/>
    <mergeCell ref="X22:X24"/>
    <mergeCell ref="Y22:Y24"/>
    <mergeCell ref="Z22:Z24"/>
    <mergeCell ref="AC22:AC24"/>
    <mergeCell ref="AD22:AD24"/>
    <mergeCell ref="P22:P24"/>
    <mergeCell ref="Q22:Q24"/>
    <mergeCell ref="S22:S24"/>
    <mergeCell ref="T22:T24"/>
    <mergeCell ref="U22:U24"/>
    <mergeCell ref="V22:V24"/>
    <mergeCell ref="J22:J24"/>
    <mergeCell ref="K22:K24"/>
    <mergeCell ref="L22:L24"/>
    <mergeCell ref="M22:M24"/>
    <mergeCell ref="N22:N24"/>
    <mergeCell ref="O22:O24"/>
    <mergeCell ref="AF25:AF26"/>
    <mergeCell ref="AG25:AG26"/>
    <mergeCell ref="G22:G24"/>
    <mergeCell ref="D22:D24"/>
    <mergeCell ref="B27:B28"/>
    <mergeCell ref="C27:C28"/>
    <mergeCell ref="F27:F28"/>
    <mergeCell ref="H27:H28"/>
    <mergeCell ref="I27:I28"/>
    <mergeCell ref="J27:J28"/>
    <mergeCell ref="K27:K28"/>
    <mergeCell ref="X25:X26"/>
    <mergeCell ref="Y25:Y26"/>
    <mergeCell ref="Z25:Z26"/>
    <mergeCell ref="AC25:AC26"/>
    <mergeCell ref="AD25:AD26"/>
    <mergeCell ref="AE25:AE26"/>
    <mergeCell ref="Q25:Q26"/>
    <mergeCell ref="S25:S26"/>
    <mergeCell ref="T25:T26"/>
    <mergeCell ref="U25:U26"/>
    <mergeCell ref="V25:V26"/>
    <mergeCell ref="W25:W26"/>
    <mergeCell ref="K25:K26"/>
    <mergeCell ref="L25:L26"/>
    <mergeCell ref="M25:M26"/>
    <mergeCell ref="N25:N26"/>
    <mergeCell ref="O25:O26"/>
    <mergeCell ref="P25:P26"/>
    <mergeCell ref="G27:G28"/>
    <mergeCell ref="D27:D28"/>
    <mergeCell ref="G25:G26"/>
    <mergeCell ref="D25:D26"/>
    <mergeCell ref="E25:E26"/>
    <mergeCell ref="AE31:AE32"/>
    <mergeCell ref="AF31:AF32"/>
    <mergeCell ref="AG31:AG32"/>
    <mergeCell ref="AG27:AG28"/>
    <mergeCell ref="A29:A30"/>
    <mergeCell ref="B29:B30"/>
    <mergeCell ref="C29:C30"/>
    <mergeCell ref="F29:F30"/>
    <mergeCell ref="H29:H30"/>
    <mergeCell ref="I29:I30"/>
    <mergeCell ref="J29:J30"/>
    <mergeCell ref="K29:K30"/>
    <mergeCell ref="L29:L30"/>
    <mergeCell ref="Y27:Y28"/>
    <mergeCell ref="Z27:Z28"/>
    <mergeCell ref="AC27:AC28"/>
    <mergeCell ref="AD27:AD28"/>
    <mergeCell ref="AE27:AE28"/>
    <mergeCell ref="AF27:AF28"/>
    <mergeCell ref="S27:S28"/>
    <mergeCell ref="T27:T28"/>
    <mergeCell ref="U27:U28"/>
    <mergeCell ref="V27:V28"/>
    <mergeCell ref="W27:W28"/>
    <mergeCell ref="X27:X28"/>
    <mergeCell ref="L27:L28"/>
    <mergeCell ref="M27:M28"/>
    <mergeCell ref="N27:N28"/>
    <mergeCell ref="O27:O28"/>
    <mergeCell ref="P27:P28"/>
    <mergeCell ref="Q27:Q28"/>
    <mergeCell ref="A27:A28"/>
    <mergeCell ref="Z29:Z30"/>
    <mergeCell ref="AC29:AC30"/>
    <mergeCell ref="AD29:AD30"/>
    <mergeCell ref="AE29:AE30"/>
    <mergeCell ref="AF29:AF30"/>
    <mergeCell ref="AG29:AG30"/>
    <mergeCell ref="T29:T30"/>
    <mergeCell ref="U29:U30"/>
    <mergeCell ref="V29:V30"/>
    <mergeCell ref="W29:W30"/>
    <mergeCell ref="X29:X30"/>
    <mergeCell ref="Y29:Y30"/>
    <mergeCell ref="M29:M30"/>
    <mergeCell ref="N29:N30"/>
    <mergeCell ref="O29:O30"/>
    <mergeCell ref="P29:P30"/>
    <mergeCell ref="Q29:Q30"/>
    <mergeCell ref="S29:S30"/>
    <mergeCell ref="A33:A34"/>
    <mergeCell ref="B33:B34"/>
    <mergeCell ref="C33:C34"/>
    <mergeCell ref="F33:F34"/>
    <mergeCell ref="H33:H34"/>
    <mergeCell ref="I33:I34"/>
    <mergeCell ref="J33:J34"/>
    <mergeCell ref="W31:W32"/>
    <mergeCell ref="X31:X32"/>
    <mergeCell ref="Y31:Y32"/>
    <mergeCell ref="Z31:Z32"/>
    <mergeCell ref="AC31:AC32"/>
    <mergeCell ref="AD31:AD32"/>
    <mergeCell ref="P31:P32"/>
    <mergeCell ref="Q31:Q32"/>
    <mergeCell ref="S31:S32"/>
    <mergeCell ref="T31:T32"/>
    <mergeCell ref="U31:U32"/>
    <mergeCell ref="V31:V32"/>
    <mergeCell ref="J31:J32"/>
    <mergeCell ref="K31:K32"/>
    <mergeCell ref="L31:L32"/>
    <mergeCell ref="M31:M32"/>
    <mergeCell ref="N31:N32"/>
    <mergeCell ref="O31:O32"/>
    <mergeCell ref="A31:A32"/>
    <mergeCell ref="B31:B32"/>
    <mergeCell ref="C31:C32"/>
    <mergeCell ref="F31:F32"/>
    <mergeCell ref="I31:I32"/>
    <mergeCell ref="G31:G32"/>
    <mergeCell ref="D31:D32"/>
    <mergeCell ref="AF33:AF34"/>
    <mergeCell ref="AG33:AG34"/>
    <mergeCell ref="A35:A36"/>
    <mergeCell ref="B35:B36"/>
    <mergeCell ref="C35:C36"/>
    <mergeCell ref="F35:F36"/>
    <mergeCell ref="H35:H36"/>
    <mergeCell ref="I35:I36"/>
    <mergeCell ref="J35:J36"/>
    <mergeCell ref="K35:K36"/>
    <mergeCell ref="X33:X34"/>
    <mergeCell ref="Y33:Y34"/>
    <mergeCell ref="Z33:Z34"/>
    <mergeCell ref="AC33:AC34"/>
    <mergeCell ref="AD33:AD34"/>
    <mergeCell ref="AE33:AE34"/>
    <mergeCell ref="Q33:Q34"/>
    <mergeCell ref="S33:S34"/>
    <mergeCell ref="T33:T34"/>
    <mergeCell ref="U33:U34"/>
    <mergeCell ref="V33:V34"/>
    <mergeCell ref="W33:W34"/>
    <mergeCell ref="K33:K34"/>
    <mergeCell ref="L33:L34"/>
    <mergeCell ref="M33:M34"/>
    <mergeCell ref="N33:N34"/>
    <mergeCell ref="O33:O34"/>
    <mergeCell ref="P33:P34"/>
    <mergeCell ref="AG35:AG36"/>
    <mergeCell ref="G33:G34"/>
    <mergeCell ref="D33:D34"/>
    <mergeCell ref="E33:E34"/>
    <mergeCell ref="C38:C39"/>
    <mergeCell ref="F38:F39"/>
    <mergeCell ref="H38:H39"/>
    <mergeCell ref="I38:I39"/>
    <mergeCell ref="J38:J39"/>
    <mergeCell ref="K38:K39"/>
    <mergeCell ref="L38:L39"/>
    <mergeCell ref="Y35:Y36"/>
    <mergeCell ref="Z35:Z36"/>
    <mergeCell ref="AC35:AC36"/>
    <mergeCell ref="AD35:AD36"/>
    <mergeCell ref="AE35:AE36"/>
    <mergeCell ref="AF35:AF36"/>
    <mergeCell ref="S35:S36"/>
    <mergeCell ref="T35:T36"/>
    <mergeCell ref="U35:U36"/>
    <mergeCell ref="V35:V36"/>
    <mergeCell ref="W35:W36"/>
    <mergeCell ref="X35:X36"/>
    <mergeCell ref="L35:L36"/>
    <mergeCell ref="M35:M36"/>
    <mergeCell ref="N35:N36"/>
    <mergeCell ref="O35:O36"/>
    <mergeCell ref="P35:P36"/>
    <mergeCell ref="Q35:Q36"/>
    <mergeCell ref="E35:E36"/>
    <mergeCell ref="A41:A42"/>
    <mergeCell ref="B41:B42"/>
    <mergeCell ref="C41:C42"/>
    <mergeCell ref="F41:F42"/>
    <mergeCell ref="H41:H42"/>
    <mergeCell ref="I41:I42"/>
    <mergeCell ref="G41:G42"/>
    <mergeCell ref="D41:D42"/>
    <mergeCell ref="E41:E42"/>
    <mergeCell ref="Z38:Z39"/>
    <mergeCell ref="AC38:AC39"/>
    <mergeCell ref="AD38:AD39"/>
    <mergeCell ref="AE38:AE39"/>
    <mergeCell ref="AF38:AF39"/>
    <mergeCell ref="AG38:AG39"/>
    <mergeCell ref="T38:T39"/>
    <mergeCell ref="U38:U39"/>
    <mergeCell ref="V38:V39"/>
    <mergeCell ref="W38:W39"/>
    <mergeCell ref="X38:X39"/>
    <mergeCell ref="Y38:Y39"/>
    <mergeCell ref="M38:M39"/>
    <mergeCell ref="N38:N39"/>
    <mergeCell ref="O38:O39"/>
    <mergeCell ref="P38:P39"/>
    <mergeCell ref="Q38:Q39"/>
    <mergeCell ref="S38:S39"/>
    <mergeCell ref="AE41:AE42"/>
    <mergeCell ref="AF41:AF42"/>
    <mergeCell ref="AG41:AG42"/>
    <mergeCell ref="A38:A39"/>
    <mergeCell ref="B38:B39"/>
    <mergeCell ref="B43:B44"/>
    <mergeCell ref="C43:C44"/>
    <mergeCell ref="F43:F44"/>
    <mergeCell ref="H43:H44"/>
    <mergeCell ref="I43:I44"/>
    <mergeCell ref="J43:J44"/>
    <mergeCell ref="W41:W42"/>
    <mergeCell ref="X41:X42"/>
    <mergeCell ref="Y41:Y42"/>
    <mergeCell ref="Z41:Z42"/>
    <mergeCell ref="AC41:AC42"/>
    <mergeCell ref="AD41:AD42"/>
    <mergeCell ref="P41:P42"/>
    <mergeCell ref="Q41:Q42"/>
    <mergeCell ref="S41:S42"/>
    <mergeCell ref="T41:T42"/>
    <mergeCell ref="U41:U42"/>
    <mergeCell ref="V41:V42"/>
    <mergeCell ref="J41:J42"/>
    <mergeCell ref="K41:K42"/>
    <mergeCell ref="L41:L42"/>
    <mergeCell ref="M41:M42"/>
    <mergeCell ref="N41:N42"/>
    <mergeCell ref="O41:O42"/>
    <mergeCell ref="AE43:AE44"/>
    <mergeCell ref="AF43:AF44"/>
    <mergeCell ref="AG43:AG44"/>
    <mergeCell ref="A45:A46"/>
    <mergeCell ref="B45:B46"/>
    <mergeCell ref="C45:C46"/>
    <mergeCell ref="F45:F46"/>
    <mergeCell ref="H45:H46"/>
    <mergeCell ref="I45:I46"/>
    <mergeCell ref="J45:J46"/>
    <mergeCell ref="W43:W44"/>
    <mergeCell ref="X43:X44"/>
    <mergeCell ref="Y43:Y44"/>
    <mergeCell ref="Z43:Z44"/>
    <mergeCell ref="AC43:AC44"/>
    <mergeCell ref="AD43:AD44"/>
    <mergeCell ref="Q43:Q44"/>
    <mergeCell ref="R43:R44"/>
    <mergeCell ref="S43:S44"/>
    <mergeCell ref="T43:T44"/>
    <mergeCell ref="U43:U44"/>
    <mergeCell ref="V43:V44"/>
    <mergeCell ref="K43:K44"/>
    <mergeCell ref="L43:L44"/>
    <mergeCell ref="M43:M44"/>
    <mergeCell ref="N43:N44"/>
    <mergeCell ref="O43:O44"/>
    <mergeCell ref="P43:P44"/>
    <mergeCell ref="AE45:AE46"/>
    <mergeCell ref="AF45:AF46"/>
    <mergeCell ref="AG45:AG46"/>
    <mergeCell ref="A43:A44"/>
    <mergeCell ref="B47:B48"/>
    <mergeCell ref="C47:C48"/>
    <mergeCell ref="F47:F48"/>
    <mergeCell ref="H47:H48"/>
    <mergeCell ref="I47:I48"/>
    <mergeCell ref="J47:J48"/>
    <mergeCell ref="W45:W46"/>
    <mergeCell ref="X45:X46"/>
    <mergeCell ref="Y45:Y46"/>
    <mergeCell ref="Z45:Z46"/>
    <mergeCell ref="AC45:AC46"/>
    <mergeCell ref="AD45:AD46"/>
    <mergeCell ref="Q45:Q46"/>
    <mergeCell ref="R45:R46"/>
    <mergeCell ref="S45:S46"/>
    <mergeCell ref="T45:T46"/>
    <mergeCell ref="U45:U46"/>
    <mergeCell ref="V45:V46"/>
    <mergeCell ref="K45:K46"/>
    <mergeCell ref="L45:L46"/>
    <mergeCell ref="M45:M46"/>
    <mergeCell ref="N45:N46"/>
    <mergeCell ref="O45:O46"/>
    <mergeCell ref="P45:P46"/>
    <mergeCell ref="AE47:AE48"/>
    <mergeCell ref="AF47:AF48"/>
    <mergeCell ref="AG47:AG48"/>
    <mergeCell ref="A49:A50"/>
    <mergeCell ref="B49:B50"/>
    <mergeCell ref="C49:C50"/>
    <mergeCell ref="F49:F50"/>
    <mergeCell ref="H49:H50"/>
    <mergeCell ref="I49:I50"/>
    <mergeCell ref="J49:J50"/>
    <mergeCell ref="W47:W48"/>
    <mergeCell ref="X47:X48"/>
    <mergeCell ref="Y47:Y48"/>
    <mergeCell ref="Z47:Z48"/>
    <mergeCell ref="AC47:AC48"/>
    <mergeCell ref="AD47:AD48"/>
    <mergeCell ref="Q47:Q48"/>
    <mergeCell ref="R47:R48"/>
    <mergeCell ref="S47:S48"/>
    <mergeCell ref="T47:T48"/>
    <mergeCell ref="U47:U48"/>
    <mergeCell ref="V47:V48"/>
    <mergeCell ref="K47:K48"/>
    <mergeCell ref="L47:L48"/>
    <mergeCell ref="M47:M48"/>
    <mergeCell ref="N47:N48"/>
    <mergeCell ref="O47:O48"/>
    <mergeCell ref="P47:P48"/>
    <mergeCell ref="AE49:AE50"/>
    <mergeCell ref="AF49:AF50"/>
    <mergeCell ref="AG49:AG50"/>
    <mergeCell ref="A47:A48"/>
    <mergeCell ref="H51:H53"/>
    <mergeCell ref="I51:I53"/>
    <mergeCell ref="J51:J53"/>
    <mergeCell ref="W49:W50"/>
    <mergeCell ref="X49:X50"/>
    <mergeCell ref="Y49:Y50"/>
    <mergeCell ref="Z49:Z50"/>
    <mergeCell ref="AC49:AC50"/>
    <mergeCell ref="AD49:AD50"/>
    <mergeCell ref="Q49:Q50"/>
    <mergeCell ref="R49:R50"/>
    <mergeCell ref="S49:S50"/>
    <mergeCell ref="T49:T50"/>
    <mergeCell ref="U49:U50"/>
    <mergeCell ref="V49:V50"/>
    <mergeCell ref="K49:K50"/>
    <mergeCell ref="L49:L50"/>
    <mergeCell ref="M49:M50"/>
    <mergeCell ref="N49:N50"/>
    <mergeCell ref="O49:O50"/>
    <mergeCell ref="P49:P50"/>
    <mergeCell ref="AF51:AF53"/>
    <mergeCell ref="AG51:AG53"/>
    <mergeCell ref="A55:A56"/>
    <mergeCell ref="B55:B56"/>
    <mergeCell ref="C55:C56"/>
    <mergeCell ref="F55:F56"/>
    <mergeCell ref="H55:H56"/>
    <mergeCell ref="I55:I56"/>
    <mergeCell ref="J55:J56"/>
    <mergeCell ref="K55:K56"/>
    <mergeCell ref="X51:X53"/>
    <mergeCell ref="Y51:Y53"/>
    <mergeCell ref="Z51:Z53"/>
    <mergeCell ref="AC51:AC53"/>
    <mergeCell ref="AD51:AD53"/>
    <mergeCell ref="AE51:AE53"/>
    <mergeCell ref="Q51:Q53"/>
    <mergeCell ref="S51:S53"/>
    <mergeCell ref="T51:T53"/>
    <mergeCell ref="U51:U53"/>
    <mergeCell ref="V51:V53"/>
    <mergeCell ref="W51:W53"/>
    <mergeCell ref="K51:K53"/>
    <mergeCell ref="L51:L53"/>
    <mergeCell ref="M51:M53"/>
    <mergeCell ref="N51:N53"/>
    <mergeCell ref="O51:O53"/>
    <mergeCell ref="P51:P53"/>
    <mergeCell ref="AG55:AG56"/>
    <mergeCell ref="A51:A53"/>
    <mergeCell ref="B51:B53"/>
    <mergeCell ref="C51:C53"/>
    <mergeCell ref="A57:A58"/>
    <mergeCell ref="B57:B58"/>
    <mergeCell ref="C57:C58"/>
    <mergeCell ref="F57:F58"/>
    <mergeCell ref="H57:H58"/>
    <mergeCell ref="I57:I58"/>
    <mergeCell ref="J57:J58"/>
    <mergeCell ref="K57:K58"/>
    <mergeCell ref="L57:L58"/>
    <mergeCell ref="Y55:Y56"/>
    <mergeCell ref="Z55:Z56"/>
    <mergeCell ref="AC55:AC56"/>
    <mergeCell ref="AD55:AD56"/>
    <mergeCell ref="AE55:AE56"/>
    <mergeCell ref="AF55:AF56"/>
    <mergeCell ref="S55:S56"/>
    <mergeCell ref="T55:T56"/>
    <mergeCell ref="U55:U56"/>
    <mergeCell ref="V55:V56"/>
    <mergeCell ref="W55:W56"/>
    <mergeCell ref="X55:X56"/>
    <mergeCell ref="L55:L56"/>
    <mergeCell ref="M55:M56"/>
    <mergeCell ref="N55:N56"/>
    <mergeCell ref="O55:O56"/>
    <mergeCell ref="P55:P56"/>
    <mergeCell ref="Q55:Q56"/>
    <mergeCell ref="G55:G56"/>
    <mergeCell ref="D55:D56"/>
    <mergeCell ref="AG57:AG58"/>
    <mergeCell ref="A59:A60"/>
    <mergeCell ref="B59:B60"/>
    <mergeCell ref="C59:C60"/>
    <mergeCell ref="F59:F60"/>
    <mergeCell ref="H59:H60"/>
    <mergeCell ref="I59:I60"/>
    <mergeCell ref="J59:J60"/>
    <mergeCell ref="K59:K60"/>
    <mergeCell ref="L59:L60"/>
    <mergeCell ref="Y57:Y58"/>
    <mergeCell ref="Z57:Z58"/>
    <mergeCell ref="AC57:AC58"/>
    <mergeCell ref="AD57:AD58"/>
    <mergeCell ref="AE57:AE58"/>
    <mergeCell ref="AF57:AF58"/>
    <mergeCell ref="S57:S58"/>
    <mergeCell ref="T57:T58"/>
    <mergeCell ref="U57:U58"/>
    <mergeCell ref="V57:V58"/>
    <mergeCell ref="W57:W58"/>
    <mergeCell ref="X57:X58"/>
    <mergeCell ref="M57:M58"/>
    <mergeCell ref="N57:N58"/>
    <mergeCell ref="O57:O58"/>
    <mergeCell ref="P57:P58"/>
    <mergeCell ref="Q57:Q58"/>
    <mergeCell ref="R57:R58"/>
    <mergeCell ref="AG59:AG60"/>
    <mergeCell ref="G57:G58"/>
    <mergeCell ref="D57:D58"/>
    <mergeCell ref="E57:E58"/>
    <mergeCell ref="A61:A62"/>
    <mergeCell ref="B61:B62"/>
    <mergeCell ref="C61:C62"/>
    <mergeCell ref="F61:F62"/>
    <mergeCell ref="H61:H62"/>
    <mergeCell ref="I61:I62"/>
    <mergeCell ref="J61:J62"/>
    <mergeCell ref="K61:K62"/>
    <mergeCell ref="L61:L62"/>
    <mergeCell ref="Y59:Y60"/>
    <mergeCell ref="Z59:Z60"/>
    <mergeCell ref="AC59:AC60"/>
    <mergeCell ref="AD59:AD60"/>
    <mergeCell ref="AE59:AE60"/>
    <mergeCell ref="AF59:AF60"/>
    <mergeCell ref="S59:S60"/>
    <mergeCell ref="T59:T60"/>
    <mergeCell ref="U59:U60"/>
    <mergeCell ref="V59:V60"/>
    <mergeCell ref="W59:W60"/>
    <mergeCell ref="X59:X60"/>
    <mergeCell ref="M59:M60"/>
    <mergeCell ref="N59:N60"/>
    <mergeCell ref="O59:O60"/>
    <mergeCell ref="P59:P60"/>
    <mergeCell ref="Q59:Q60"/>
    <mergeCell ref="R59:R60"/>
    <mergeCell ref="G59:G60"/>
    <mergeCell ref="D59:D60"/>
    <mergeCell ref="E59:E60"/>
    <mergeCell ref="G63:G64"/>
    <mergeCell ref="D63:D64"/>
    <mergeCell ref="E63:E64"/>
    <mergeCell ref="Z61:Z62"/>
    <mergeCell ref="AC61:AC62"/>
    <mergeCell ref="AD61:AD62"/>
    <mergeCell ref="AE61:AE62"/>
    <mergeCell ref="AF61:AF62"/>
    <mergeCell ref="AG61:AG62"/>
    <mergeCell ref="T61:T62"/>
    <mergeCell ref="U61:U62"/>
    <mergeCell ref="V61:V62"/>
    <mergeCell ref="W61:W62"/>
    <mergeCell ref="X61:X62"/>
    <mergeCell ref="Y61:Y62"/>
    <mergeCell ref="M61:M62"/>
    <mergeCell ref="N61:N62"/>
    <mergeCell ref="O61:O62"/>
    <mergeCell ref="P61:P62"/>
    <mergeCell ref="Q61:Q62"/>
    <mergeCell ref="S61:S62"/>
    <mergeCell ref="AE63:AE64"/>
    <mergeCell ref="AF63:AF64"/>
    <mergeCell ref="AG63:AG64"/>
    <mergeCell ref="G61:G62"/>
    <mergeCell ref="D61:D62"/>
    <mergeCell ref="E61:E62"/>
    <mergeCell ref="A65:A66"/>
    <mergeCell ref="B65:B66"/>
    <mergeCell ref="C65:C66"/>
    <mergeCell ref="F65:F66"/>
    <mergeCell ref="H65:H66"/>
    <mergeCell ref="I65:I66"/>
    <mergeCell ref="J65:J66"/>
    <mergeCell ref="W63:W64"/>
    <mergeCell ref="X63:X64"/>
    <mergeCell ref="Y63:Y64"/>
    <mergeCell ref="Z63:Z64"/>
    <mergeCell ref="AC63:AC64"/>
    <mergeCell ref="AD63:AD64"/>
    <mergeCell ref="P63:P64"/>
    <mergeCell ref="Q63:Q64"/>
    <mergeCell ref="S63:S64"/>
    <mergeCell ref="T63:T64"/>
    <mergeCell ref="U63:U64"/>
    <mergeCell ref="V63:V64"/>
    <mergeCell ref="J63:J64"/>
    <mergeCell ref="K63:K64"/>
    <mergeCell ref="L63:L64"/>
    <mergeCell ref="M63:M64"/>
    <mergeCell ref="N63:N64"/>
    <mergeCell ref="O63:O64"/>
    <mergeCell ref="A63:A64"/>
    <mergeCell ref="B63:B64"/>
    <mergeCell ref="C63:C64"/>
    <mergeCell ref="F63:F64"/>
    <mergeCell ref="E65:E66"/>
    <mergeCell ref="H63:H64"/>
    <mergeCell ref="I63:I64"/>
    <mergeCell ref="AE65:AE66"/>
    <mergeCell ref="AF65:AF66"/>
    <mergeCell ref="AG65:AG66"/>
    <mergeCell ref="A67:A68"/>
    <mergeCell ref="B67:B68"/>
    <mergeCell ref="C67:C68"/>
    <mergeCell ref="F67:F68"/>
    <mergeCell ref="H67:H68"/>
    <mergeCell ref="I67:I68"/>
    <mergeCell ref="J67:J68"/>
    <mergeCell ref="W65:W66"/>
    <mergeCell ref="X65:X66"/>
    <mergeCell ref="Y65:Y66"/>
    <mergeCell ref="Z65:Z66"/>
    <mergeCell ref="AC65:AC66"/>
    <mergeCell ref="AD65:AD66"/>
    <mergeCell ref="Q65:Q66"/>
    <mergeCell ref="R65:R66"/>
    <mergeCell ref="S65:S66"/>
    <mergeCell ref="T65:T66"/>
    <mergeCell ref="U65:U66"/>
    <mergeCell ref="V65:V66"/>
    <mergeCell ref="K65:K66"/>
    <mergeCell ref="L65:L66"/>
    <mergeCell ref="M65:M66"/>
    <mergeCell ref="N65:N66"/>
    <mergeCell ref="O65:O66"/>
    <mergeCell ref="P65:P66"/>
    <mergeCell ref="AF67:AF68"/>
    <mergeCell ref="AG67:AG68"/>
    <mergeCell ref="G65:G66"/>
    <mergeCell ref="D65:D66"/>
    <mergeCell ref="A69:A70"/>
    <mergeCell ref="B69:B70"/>
    <mergeCell ref="C69:C70"/>
    <mergeCell ref="F69:F70"/>
    <mergeCell ref="H69:H70"/>
    <mergeCell ref="I69:I70"/>
    <mergeCell ref="J69:J70"/>
    <mergeCell ref="K69:K70"/>
    <mergeCell ref="X67:X68"/>
    <mergeCell ref="Y67:Y68"/>
    <mergeCell ref="Z67:Z68"/>
    <mergeCell ref="AC67:AC68"/>
    <mergeCell ref="AD67:AD68"/>
    <mergeCell ref="AE67:AE68"/>
    <mergeCell ref="Q67:Q68"/>
    <mergeCell ref="S67:S68"/>
    <mergeCell ref="T67:T68"/>
    <mergeCell ref="U67:U68"/>
    <mergeCell ref="V67:V68"/>
    <mergeCell ref="W67:W68"/>
    <mergeCell ref="K67:K68"/>
    <mergeCell ref="L67:L68"/>
    <mergeCell ref="M67:M68"/>
    <mergeCell ref="N67:N68"/>
    <mergeCell ref="O67:O68"/>
    <mergeCell ref="P67:P68"/>
    <mergeCell ref="D67:D68"/>
    <mergeCell ref="G67:G68"/>
    <mergeCell ref="E67:E68"/>
    <mergeCell ref="E69:E70"/>
    <mergeCell ref="AF69:AF70"/>
    <mergeCell ref="AG69:AG70"/>
    <mergeCell ref="A71:A72"/>
    <mergeCell ref="B71:B72"/>
    <mergeCell ref="C71:C72"/>
    <mergeCell ref="F71:F72"/>
    <mergeCell ref="H71:H72"/>
    <mergeCell ref="I71:I72"/>
    <mergeCell ref="J71:J72"/>
    <mergeCell ref="K71:K72"/>
    <mergeCell ref="X69:X70"/>
    <mergeCell ref="Y69:Y70"/>
    <mergeCell ref="Z69:Z70"/>
    <mergeCell ref="AC69:AC70"/>
    <mergeCell ref="AD69:AD70"/>
    <mergeCell ref="AE69:AE70"/>
    <mergeCell ref="R69:R70"/>
    <mergeCell ref="S69:S70"/>
    <mergeCell ref="T69:T70"/>
    <mergeCell ref="U69:U70"/>
    <mergeCell ref="V69:V70"/>
    <mergeCell ref="W69:W70"/>
    <mergeCell ref="L69:L70"/>
    <mergeCell ref="M69:M70"/>
    <mergeCell ref="N69:N70"/>
    <mergeCell ref="O69:O70"/>
    <mergeCell ref="P69:P70"/>
    <mergeCell ref="Q69:Q70"/>
    <mergeCell ref="AF71:AF72"/>
    <mergeCell ref="AG71:AG72"/>
    <mergeCell ref="G69:G70"/>
    <mergeCell ref="D69:D70"/>
    <mergeCell ref="E73:E75"/>
    <mergeCell ref="A73:A75"/>
    <mergeCell ref="B73:B75"/>
    <mergeCell ref="C73:C75"/>
    <mergeCell ref="F73:F75"/>
    <mergeCell ref="H73:H75"/>
    <mergeCell ref="I73:I75"/>
    <mergeCell ref="J73:J75"/>
    <mergeCell ref="K73:K75"/>
    <mergeCell ref="X71:X72"/>
    <mergeCell ref="Y71:Y72"/>
    <mergeCell ref="Z71:Z72"/>
    <mergeCell ref="AC71:AC72"/>
    <mergeCell ref="AD71:AD72"/>
    <mergeCell ref="AE71:AE72"/>
    <mergeCell ref="R71:R72"/>
    <mergeCell ref="S71:S72"/>
    <mergeCell ref="T71:T72"/>
    <mergeCell ref="U71:U72"/>
    <mergeCell ref="V71:V72"/>
    <mergeCell ref="W71:W72"/>
    <mergeCell ref="L71:L72"/>
    <mergeCell ref="M71:M72"/>
    <mergeCell ref="N71:N72"/>
    <mergeCell ref="O71:O72"/>
    <mergeCell ref="P71:P72"/>
    <mergeCell ref="Q71:Q72"/>
    <mergeCell ref="G71:G72"/>
    <mergeCell ref="D71:D72"/>
    <mergeCell ref="E71:E72"/>
    <mergeCell ref="D76:D77"/>
    <mergeCell ref="E76:E77"/>
    <mergeCell ref="AG73:AG75"/>
    <mergeCell ref="A76:A77"/>
    <mergeCell ref="B76:B77"/>
    <mergeCell ref="C76:C77"/>
    <mergeCell ref="F76:F77"/>
    <mergeCell ref="H76:H77"/>
    <mergeCell ref="I76:I77"/>
    <mergeCell ref="J76:J77"/>
    <mergeCell ref="K76:K77"/>
    <mergeCell ref="L76:L77"/>
    <mergeCell ref="Y73:Y75"/>
    <mergeCell ref="Z73:Z75"/>
    <mergeCell ref="AC73:AC75"/>
    <mergeCell ref="AD73:AD75"/>
    <mergeCell ref="AE73:AE75"/>
    <mergeCell ref="AF73:AF75"/>
    <mergeCell ref="S73:S75"/>
    <mergeCell ref="T73:T75"/>
    <mergeCell ref="U73:U75"/>
    <mergeCell ref="V73:V75"/>
    <mergeCell ref="W73:W75"/>
    <mergeCell ref="X73:X75"/>
    <mergeCell ref="L73:L75"/>
    <mergeCell ref="M73:M75"/>
    <mergeCell ref="N73:N75"/>
    <mergeCell ref="O73:O75"/>
    <mergeCell ref="P73:P75"/>
    <mergeCell ref="Q73:Q75"/>
    <mergeCell ref="G73:G75"/>
    <mergeCell ref="D73:D75"/>
    <mergeCell ref="G78:G79"/>
    <mergeCell ref="E78:E79"/>
    <mergeCell ref="Z76:Z77"/>
    <mergeCell ref="AC76:AC77"/>
    <mergeCell ref="AD76:AD77"/>
    <mergeCell ref="AE76:AE77"/>
    <mergeCell ref="AF76:AF77"/>
    <mergeCell ref="AG76:AG77"/>
    <mergeCell ref="T76:T77"/>
    <mergeCell ref="U76:U77"/>
    <mergeCell ref="V76:V77"/>
    <mergeCell ref="W76:W77"/>
    <mergeCell ref="X76:X77"/>
    <mergeCell ref="Y76:Y77"/>
    <mergeCell ref="M76:M77"/>
    <mergeCell ref="N76:N77"/>
    <mergeCell ref="O76:O77"/>
    <mergeCell ref="P76:P77"/>
    <mergeCell ref="Q76:Q77"/>
    <mergeCell ref="S76:S77"/>
    <mergeCell ref="AE78:AE79"/>
    <mergeCell ref="AF78:AF79"/>
    <mergeCell ref="AG78:AG79"/>
    <mergeCell ref="G76:G77"/>
    <mergeCell ref="A80:A81"/>
    <mergeCell ref="B80:B81"/>
    <mergeCell ref="C80:C81"/>
    <mergeCell ref="F80:F81"/>
    <mergeCell ref="H80:H81"/>
    <mergeCell ref="I80:I81"/>
    <mergeCell ref="J80:J81"/>
    <mergeCell ref="W78:W79"/>
    <mergeCell ref="X78:X79"/>
    <mergeCell ref="Y78:Y79"/>
    <mergeCell ref="Z78:Z79"/>
    <mergeCell ref="AC78:AC79"/>
    <mergeCell ref="AD78:AD79"/>
    <mergeCell ref="P78:P79"/>
    <mergeCell ref="Q78:Q79"/>
    <mergeCell ref="S78:S79"/>
    <mergeCell ref="T78:T79"/>
    <mergeCell ref="U78:U79"/>
    <mergeCell ref="V78:V79"/>
    <mergeCell ref="J78:J79"/>
    <mergeCell ref="K78:K79"/>
    <mergeCell ref="L78:L79"/>
    <mergeCell ref="M78:M79"/>
    <mergeCell ref="N78:N79"/>
    <mergeCell ref="O78:O79"/>
    <mergeCell ref="A78:A79"/>
    <mergeCell ref="B78:B79"/>
    <mergeCell ref="C78:C79"/>
    <mergeCell ref="F78:F79"/>
    <mergeCell ref="H78:H79"/>
    <mergeCell ref="I78:I79"/>
    <mergeCell ref="D78:D79"/>
    <mergeCell ref="AE80:AE81"/>
    <mergeCell ref="AF80:AF81"/>
    <mergeCell ref="AG80:AG81"/>
    <mergeCell ref="A82:A83"/>
    <mergeCell ref="B82:B83"/>
    <mergeCell ref="C82:C83"/>
    <mergeCell ref="F82:F83"/>
    <mergeCell ref="H82:H83"/>
    <mergeCell ref="I82:I83"/>
    <mergeCell ref="J82:J83"/>
    <mergeCell ref="W80:W81"/>
    <mergeCell ref="X80:X81"/>
    <mergeCell ref="Y80:Y81"/>
    <mergeCell ref="Z80:Z81"/>
    <mergeCell ref="AC80:AC81"/>
    <mergeCell ref="AD80:AD81"/>
    <mergeCell ref="Q80:Q81"/>
    <mergeCell ref="R80:R81"/>
    <mergeCell ref="S80:S81"/>
    <mergeCell ref="T80:T81"/>
    <mergeCell ref="U80:U81"/>
    <mergeCell ref="V80:V81"/>
    <mergeCell ref="K80:K81"/>
    <mergeCell ref="L80:L81"/>
    <mergeCell ref="M80:M81"/>
    <mergeCell ref="N80:N81"/>
    <mergeCell ref="O80:O81"/>
    <mergeCell ref="P80:P81"/>
    <mergeCell ref="AE82:AE83"/>
    <mergeCell ref="AF82:AF83"/>
    <mergeCell ref="AG82:AG83"/>
    <mergeCell ref="G80:G81"/>
    <mergeCell ref="A84:A85"/>
    <mergeCell ref="B84:B85"/>
    <mergeCell ref="C84:C85"/>
    <mergeCell ref="F84:F85"/>
    <mergeCell ref="H84:H85"/>
    <mergeCell ref="I84:I85"/>
    <mergeCell ref="J84:J85"/>
    <mergeCell ref="W82:W83"/>
    <mergeCell ref="X82:X83"/>
    <mergeCell ref="Y82:Y83"/>
    <mergeCell ref="Z82:Z83"/>
    <mergeCell ref="AC82:AC83"/>
    <mergeCell ref="AD82:AD83"/>
    <mergeCell ref="Q82:Q83"/>
    <mergeCell ref="R82:R83"/>
    <mergeCell ref="S82:S83"/>
    <mergeCell ref="T82:T83"/>
    <mergeCell ref="U82:U83"/>
    <mergeCell ref="V82:V83"/>
    <mergeCell ref="K82:K83"/>
    <mergeCell ref="L82:L83"/>
    <mergeCell ref="M82:M83"/>
    <mergeCell ref="N82:N83"/>
    <mergeCell ref="O82:O83"/>
    <mergeCell ref="P82:P83"/>
    <mergeCell ref="D84:D85"/>
    <mergeCell ref="D82:D83"/>
    <mergeCell ref="G82:G83"/>
    <mergeCell ref="AE84:AE85"/>
    <mergeCell ref="AF84:AF85"/>
    <mergeCell ref="AG84:AG85"/>
    <mergeCell ref="A86:A87"/>
    <mergeCell ref="B86:B87"/>
    <mergeCell ref="C86:C87"/>
    <mergeCell ref="F86:F87"/>
    <mergeCell ref="H86:H87"/>
    <mergeCell ref="I86:I87"/>
    <mergeCell ref="J86:J87"/>
    <mergeCell ref="W84:W85"/>
    <mergeCell ref="X84:X85"/>
    <mergeCell ref="Y84:Y85"/>
    <mergeCell ref="Z84:Z85"/>
    <mergeCell ref="AC84:AC85"/>
    <mergeCell ref="AD84:AD85"/>
    <mergeCell ref="Q84:Q85"/>
    <mergeCell ref="R84:R85"/>
    <mergeCell ref="S84:S85"/>
    <mergeCell ref="T84:T85"/>
    <mergeCell ref="U84:U85"/>
    <mergeCell ref="V84:V85"/>
    <mergeCell ref="K84:K85"/>
    <mergeCell ref="L84:L85"/>
    <mergeCell ref="M84:M85"/>
    <mergeCell ref="N84:N85"/>
    <mergeCell ref="O84:O85"/>
    <mergeCell ref="P84:P85"/>
    <mergeCell ref="AE86:AE87"/>
    <mergeCell ref="AF86:AF87"/>
    <mergeCell ref="AG86:AG87"/>
    <mergeCell ref="G84:G85"/>
    <mergeCell ref="A88:A89"/>
    <mergeCell ref="B88:B89"/>
    <mergeCell ref="C88:C89"/>
    <mergeCell ref="F88:F89"/>
    <mergeCell ref="H88:H89"/>
    <mergeCell ref="I88:I89"/>
    <mergeCell ref="J88:J89"/>
    <mergeCell ref="W86:W87"/>
    <mergeCell ref="X86:X87"/>
    <mergeCell ref="Y86:Y87"/>
    <mergeCell ref="Z86:Z87"/>
    <mergeCell ref="AC86:AC87"/>
    <mergeCell ref="AD86:AD87"/>
    <mergeCell ref="Q86:Q87"/>
    <mergeCell ref="R86:R87"/>
    <mergeCell ref="S86:S87"/>
    <mergeCell ref="T86:T87"/>
    <mergeCell ref="U86:U87"/>
    <mergeCell ref="V86:V87"/>
    <mergeCell ref="K86:K87"/>
    <mergeCell ref="L86:L87"/>
    <mergeCell ref="M86:M87"/>
    <mergeCell ref="N86:N87"/>
    <mergeCell ref="O86:O87"/>
    <mergeCell ref="P86:P87"/>
    <mergeCell ref="D88:D89"/>
    <mergeCell ref="G86:G87"/>
    <mergeCell ref="D86:D87"/>
    <mergeCell ref="AE88:AE89"/>
    <mergeCell ref="AF88:AF89"/>
    <mergeCell ref="AG88:AG89"/>
    <mergeCell ref="A90:A91"/>
    <mergeCell ref="B90:B91"/>
    <mergeCell ref="C90:C91"/>
    <mergeCell ref="F90:F91"/>
    <mergeCell ref="H90:H91"/>
    <mergeCell ref="I90:I91"/>
    <mergeCell ref="J90:J91"/>
    <mergeCell ref="W88:W89"/>
    <mergeCell ref="X88:X89"/>
    <mergeCell ref="Y88:Y89"/>
    <mergeCell ref="Z88:Z89"/>
    <mergeCell ref="AC88:AC89"/>
    <mergeCell ref="AD88:AD89"/>
    <mergeCell ref="Q88:Q89"/>
    <mergeCell ref="R88:R89"/>
    <mergeCell ref="S88:S89"/>
    <mergeCell ref="T88:T89"/>
    <mergeCell ref="U88:U89"/>
    <mergeCell ref="V88:V89"/>
    <mergeCell ref="K88:K89"/>
    <mergeCell ref="L88:L89"/>
    <mergeCell ref="M88:M89"/>
    <mergeCell ref="N88:N89"/>
    <mergeCell ref="O88:O89"/>
    <mergeCell ref="P88:P89"/>
    <mergeCell ref="AE90:AE91"/>
    <mergeCell ref="AF90:AF91"/>
    <mergeCell ref="AG90:AG91"/>
    <mergeCell ref="G88:G89"/>
    <mergeCell ref="A92:A93"/>
    <mergeCell ref="B92:B93"/>
    <mergeCell ref="C92:C93"/>
    <mergeCell ref="F92:F93"/>
    <mergeCell ref="H92:H93"/>
    <mergeCell ref="I92:I93"/>
    <mergeCell ref="J92:J93"/>
    <mergeCell ref="W90:W91"/>
    <mergeCell ref="X90:X91"/>
    <mergeCell ref="Y90:Y91"/>
    <mergeCell ref="Z90:Z91"/>
    <mergeCell ref="AC90:AC91"/>
    <mergeCell ref="AD90:AD91"/>
    <mergeCell ref="Q90:Q91"/>
    <mergeCell ref="R90:R91"/>
    <mergeCell ref="S90:S91"/>
    <mergeCell ref="T90:T91"/>
    <mergeCell ref="U90:U91"/>
    <mergeCell ref="V90:V91"/>
    <mergeCell ref="K90:K91"/>
    <mergeCell ref="L90:L91"/>
    <mergeCell ref="M90:M91"/>
    <mergeCell ref="N90:N91"/>
    <mergeCell ref="O90:O91"/>
    <mergeCell ref="P90:P91"/>
    <mergeCell ref="G90:G91"/>
    <mergeCell ref="D90:D91"/>
    <mergeCell ref="AF92:AF93"/>
    <mergeCell ref="AG92:AG93"/>
    <mergeCell ref="A94:A95"/>
    <mergeCell ref="B94:B95"/>
    <mergeCell ref="C94:C95"/>
    <mergeCell ref="F94:F95"/>
    <mergeCell ref="H94:H95"/>
    <mergeCell ref="I94:I95"/>
    <mergeCell ref="J94:J95"/>
    <mergeCell ref="K94:K95"/>
    <mergeCell ref="X92:X93"/>
    <mergeCell ref="Y92:Y93"/>
    <mergeCell ref="Z92:Z93"/>
    <mergeCell ref="AC92:AC93"/>
    <mergeCell ref="AD92:AD93"/>
    <mergeCell ref="AE92:AE93"/>
    <mergeCell ref="Q92:Q93"/>
    <mergeCell ref="S92:S93"/>
    <mergeCell ref="T92:T93"/>
    <mergeCell ref="U92:U93"/>
    <mergeCell ref="V92:V93"/>
    <mergeCell ref="W92:W93"/>
    <mergeCell ref="K92:K93"/>
    <mergeCell ref="L92:L93"/>
    <mergeCell ref="M92:M93"/>
    <mergeCell ref="N92:N93"/>
    <mergeCell ref="O92:O93"/>
    <mergeCell ref="P92:P93"/>
    <mergeCell ref="AG94:AG95"/>
    <mergeCell ref="E92:E93"/>
    <mergeCell ref="G92:G93"/>
    <mergeCell ref="D92:D93"/>
    <mergeCell ref="A96:A97"/>
    <mergeCell ref="B96:B97"/>
    <mergeCell ref="C96:C97"/>
    <mergeCell ref="F96:F97"/>
    <mergeCell ref="H96:H97"/>
    <mergeCell ref="I96:I97"/>
    <mergeCell ref="J96:J97"/>
    <mergeCell ref="K96:K97"/>
    <mergeCell ref="L96:L97"/>
    <mergeCell ref="Y94:Y95"/>
    <mergeCell ref="Z94:Z95"/>
    <mergeCell ref="AC94:AC95"/>
    <mergeCell ref="AD94:AD95"/>
    <mergeCell ref="AE94:AE95"/>
    <mergeCell ref="AF94:AF95"/>
    <mergeCell ref="S94:S95"/>
    <mergeCell ref="T94:T95"/>
    <mergeCell ref="U94:U95"/>
    <mergeCell ref="V94:V95"/>
    <mergeCell ref="W94:W95"/>
    <mergeCell ref="X94:X95"/>
    <mergeCell ref="L94:L95"/>
    <mergeCell ref="M94:M95"/>
    <mergeCell ref="N94:N95"/>
    <mergeCell ref="O94:O95"/>
    <mergeCell ref="P94:P95"/>
    <mergeCell ref="Q94:Q95"/>
    <mergeCell ref="G94:G95"/>
    <mergeCell ref="D94:D95"/>
    <mergeCell ref="E94:E95"/>
    <mergeCell ref="AG96:AG97"/>
    <mergeCell ref="A98:A99"/>
    <mergeCell ref="B98:B99"/>
    <mergeCell ref="C98:C99"/>
    <mergeCell ref="F98:F99"/>
    <mergeCell ref="H98:H99"/>
    <mergeCell ref="I98:I99"/>
    <mergeCell ref="J98:J99"/>
    <mergeCell ref="K98:K99"/>
    <mergeCell ref="L98:L99"/>
    <mergeCell ref="Y96:Y97"/>
    <mergeCell ref="Z96:Z97"/>
    <mergeCell ref="AC96:AC97"/>
    <mergeCell ref="AD96:AD97"/>
    <mergeCell ref="AE96:AE97"/>
    <mergeCell ref="AF96:AF97"/>
    <mergeCell ref="S96:S97"/>
    <mergeCell ref="T96:T97"/>
    <mergeCell ref="U96:U97"/>
    <mergeCell ref="V96:V97"/>
    <mergeCell ref="W96:W97"/>
    <mergeCell ref="X96:X97"/>
    <mergeCell ref="M96:M97"/>
    <mergeCell ref="N96:N97"/>
    <mergeCell ref="O96:O97"/>
    <mergeCell ref="P96:P97"/>
    <mergeCell ref="Q96:Q97"/>
    <mergeCell ref="R96:R97"/>
    <mergeCell ref="AG98:AG99"/>
    <mergeCell ref="G96:G97"/>
    <mergeCell ref="D96:D97"/>
    <mergeCell ref="E96:E97"/>
    <mergeCell ref="A100:A101"/>
    <mergeCell ref="B100:B101"/>
    <mergeCell ref="C100:C101"/>
    <mergeCell ref="F100:F101"/>
    <mergeCell ref="H100:H101"/>
    <mergeCell ref="I100:I101"/>
    <mergeCell ref="J100:J101"/>
    <mergeCell ref="K100:K101"/>
    <mergeCell ref="L100:L101"/>
    <mergeCell ref="Y98:Y99"/>
    <mergeCell ref="Z98:Z99"/>
    <mergeCell ref="AC98:AC99"/>
    <mergeCell ref="AD98:AD99"/>
    <mergeCell ref="AE98:AE99"/>
    <mergeCell ref="AF98:AF99"/>
    <mergeCell ref="S98:S99"/>
    <mergeCell ref="T98:T99"/>
    <mergeCell ref="U98:U99"/>
    <mergeCell ref="V98:V99"/>
    <mergeCell ref="W98:W99"/>
    <mergeCell ref="X98:X99"/>
    <mergeCell ref="M98:M99"/>
    <mergeCell ref="N98:N99"/>
    <mergeCell ref="O98:O99"/>
    <mergeCell ref="P98:P99"/>
    <mergeCell ref="Q98:Q99"/>
    <mergeCell ref="R98:R99"/>
    <mergeCell ref="G98:G99"/>
    <mergeCell ref="D98:D99"/>
    <mergeCell ref="E98:E99"/>
    <mergeCell ref="AG100:AG101"/>
    <mergeCell ref="A102:A103"/>
    <mergeCell ref="B102:B103"/>
    <mergeCell ref="C102:C103"/>
    <mergeCell ref="F102:F103"/>
    <mergeCell ref="H102:H103"/>
    <mergeCell ref="I102:I103"/>
    <mergeCell ref="J102:J103"/>
    <mergeCell ref="K102:K103"/>
    <mergeCell ref="L102:L103"/>
    <mergeCell ref="Y100:Y101"/>
    <mergeCell ref="Z100:Z101"/>
    <mergeCell ref="AC100:AC101"/>
    <mergeCell ref="AD100:AD101"/>
    <mergeCell ref="AE100:AE101"/>
    <mergeCell ref="AF100:AF101"/>
    <mergeCell ref="S100:S101"/>
    <mergeCell ref="T100:T101"/>
    <mergeCell ref="U100:U101"/>
    <mergeCell ref="V100:V101"/>
    <mergeCell ref="W100:W101"/>
    <mergeCell ref="X100:X101"/>
    <mergeCell ref="M100:M101"/>
    <mergeCell ref="N100:N101"/>
    <mergeCell ref="O100:O101"/>
    <mergeCell ref="P100:P101"/>
    <mergeCell ref="Q100:Q101"/>
    <mergeCell ref="R100:R101"/>
    <mergeCell ref="AG102:AG103"/>
    <mergeCell ref="G100:G101"/>
    <mergeCell ref="D100:D101"/>
    <mergeCell ref="E100:E101"/>
    <mergeCell ref="B104:B105"/>
    <mergeCell ref="C104:C105"/>
    <mergeCell ref="F104:F105"/>
    <mergeCell ref="H104:H105"/>
    <mergeCell ref="I104:I105"/>
    <mergeCell ref="J104:J105"/>
    <mergeCell ref="K104:K105"/>
    <mergeCell ref="L104:L105"/>
    <mergeCell ref="Y102:Y103"/>
    <mergeCell ref="Z102:Z103"/>
    <mergeCell ref="AC102:AC103"/>
    <mergeCell ref="AD102:AD103"/>
    <mergeCell ref="AE102:AE103"/>
    <mergeCell ref="AF102:AF103"/>
    <mergeCell ref="S102:S103"/>
    <mergeCell ref="T102:T103"/>
    <mergeCell ref="U102:U103"/>
    <mergeCell ref="V102:V103"/>
    <mergeCell ref="W102:W103"/>
    <mergeCell ref="X102:X103"/>
    <mergeCell ref="M102:M103"/>
    <mergeCell ref="N102:N103"/>
    <mergeCell ref="O102:O103"/>
    <mergeCell ref="P102:P103"/>
    <mergeCell ref="Q102:Q103"/>
    <mergeCell ref="R102:R103"/>
    <mergeCell ref="D102:D103"/>
    <mergeCell ref="G102:G103"/>
    <mergeCell ref="E102:E103"/>
    <mergeCell ref="AG104:AG105"/>
    <mergeCell ref="A106:A107"/>
    <mergeCell ref="B106:B107"/>
    <mergeCell ref="C106:C107"/>
    <mergeCell ref="F106:F107"/>
    <mergeCell ref="H106:H107"/>
    <mergeCell ref="I106:I107"/>
    <mergeCell ref="J106:J107"/>
    <mergeCell ref="K106:K107"/>
    <mergeCell ref="L106:L107"/>
    <mergeCell ref="Y104:Y105"/>
    <mergeCell ref="Z104:Z105"/>
    <mergeCell ref="AC104:AC105"/>
    <mergeCell ref="AD104:AD105"/>
    <mergeCell ref="AE104:AE105"/>
    <mergeCell ref="AF104:AF105"/>
    <mergeCell ref="S104:S105"/>
    <mergeCell ref="T104:T105"/>
    <mergeCell ref="U104:U105"/>
    <mergeCell ref="V104:V105"/>
    <mergeCell ref="W104:W105"/>
    <mergeCell ref="X104:X105"/>
    <mergeCell ref="M104:M105"/>
    <mergeCell ref="N104:N105"/>
    <mergeCell ref="O104:O105"/>
    <mergeCell ref="P104:P105"/>
    <mergeCell ref="Q104:Q105"/>
    <mergeCell ref="R104:R105"/>
    <mergeCell ref="E104:E105"/>
    <mergeCell ref="G104:G105"/>
    <mergeCell ref="D104:D105"/>
    <mergeCell ref="A104:A105"/>
    <mergeCell ref="D108:D109"/>
    <mergeCell ref="E108:E109"/>
    <mergeCell ref="Z106:Z107"/>
    <mergeCell ref="AC106:AC107"/>
    <mergeCell ref="AD106:AD107"/>
    <mergeCell ref="AE106:AE107"/>
    <mergeCell ref="AF106:AF107"/>
    <mergeCell ref="AG106:AG107"/>
    <mergeCell ref="T106:T107"/>
    <mergeCell ref="U106:U107"/>
    <mergeCell ref="V106:V107"/>
    <mergeCell ref="W106:W107"/>
    <mergeCell ref="X106:X107"/>
    <mergeCell ref="Y106:Y107"/>
    <mergeCell ref="M106:M107"/>
    <mergeCell ref="N106:N107"/>
    <mergeCell ref="O106:O107"/>
    <mergeCell ref="P106:P107"/>
    <mergeCell ref="Q106:Q107"/>
    <mergeCell ref="S106:S107"/>
    <mergeCell ref="AE108:AE109"/>
    <mergeCell ref="AF108:AF109"/>
    <mergeCell ref="AG108:AG109"/>
    <mergeCell ref="D106:D107"/>
    <mergeCell ref="G106:G107"/>
    <mergeCell ref="E106:E107"/>
    <mergeCell ref="A110:A112"/>
    <mergeCell ref="B110:B112"/>
    <mergeCell ref="C110:C112"/>
    <mergeCell ref="F110:F112"/>
    <mergeCell ref="H110:H112"/>
    <mergeCell ref="I110:I112"/>
    <mergeCell ref="J110:J112"/>
    <mergeCell ref="W108:W109"/>
    <mergeCell ref="X108:X109"/>
    <mergeCell ref="Y108:Y109"/>
    <mergeCell ref="Z108:Z109"/>
    <mergeCell ref="AC108:AC109"/>
    <mergeCell ref="AD108:AD109"/>
    <mergeCell ref="P108:P109"/>
    <mergeCell ref="Q108:Q109"/>
    <mergeCell ref="S108:S109"/>
    <mergeCell ref="T108:T109"/>
    <mergeCell ref="U108:U109"/>
    <mergeCell ref="V108:V109"/>
    <mergeCell ref="J108:J109"/>
    <mergeCell ref="K108:K109"/>
    <mergeCell ref="L108:L109"/>
    <mergeCell ref="M108:M109"/>
    <mergeCell ref="N108:N109"/>
    <mergeCell ref="O108:O109"/>
    <mergeCell ref="A108:A109"/>
    <mergeCell ref="B108:B109"/>
    <mergeCell ref="C108:C109"/>
    <mergeCell ref="F108:F109"/>
    <mergeCell ref="H108:H109"/>
    <mergeCell ref="I108:I109"/>
    <mergeCell ref="G108:G109"/>
    <mergeCell ref="AF110:AF112"/>
    <mergeCell ref="AG110:AG112"/>
    <mergeCell ref="A113:A114"/>
    <mergeCell ref="B113:B114"/>
    <mergeCell ref="C113:C114"/>
    <mergeCell ref="F113:F114"/>
    <mergeCell ref="H113:H114"/>
    <mergeCell ref="I113:I114"/>
    <mergeCell ref="J113:J114"/>
    <mergeCell ref="K113:K114"/>
    <mergeCell ref="X110:X112"/>
    <mergeCell ref="Y110:Y112"/>
    <mergeCell ref="Z110:Z112"/>
    <mergeCell ref="AC110:AC112"/>
    <mergeCell ref="AD110:AD112"/>
    <mergeCell ref="AE110:AE112"/>
    <mergeCell ref="Q110:Q112"/>
    <mergeCell ref="S110:S112"/>
    <mergeCell ref="T110:T112"/>
    <mergeCell ref="U110:U112"/>
    <mergeCell ref="V110:V112"/>
    <mergeCell ref="W110:W112"/>
    <mergeCell ref="K110:K112"/>
    <mergeCell ref="L110:L112"/>
    <mergeCell ref="M110:M112"/>
    <mergeCell ref="N110:N112"/>
    <mergeCell ref="O110:O112"/>
    <mergeCell ref="P110:P112"/>
    <mergeCell ref="AF113:AF114"/>
    <mergeCell ref="AG113:AG114"/>
    <mergeCell ref="G110:G112"/>
    <mergeCell ref="E110:E112"/>
    <mergeCell ref="A115:A116"/>
    <mergeCell ref="B115:B116"/>
    <mergeCell ref="C115:C116"/>
    <mergeCell ref="F115:F116"/>
    <mergeCell ref="H115:H116"/>
    <mergeCell ref="I115:I116"/>
    <mergeCell ref="J115:J116"/>
    <mergeCell ref="K115:K116"/>
    <mergeCell ref="X113:X114"/>
    <mergeCell ref="Y113:Y114"/>
    <mergeCell ref="Z113:Z114"/>
    <mergeCell ref="AC113:AC114"/>
    <mergeCell ref="AD113:AD114"/>
    <mergeCell ref="AE113:AE114"/>
    <mergeCell ref="R113:R114"/>
    <mergeCell ref="S113:S114"/>
    <mergeCell ref="T113:T114"/>
    <mergeCell ref="U113:U114"/>
    <mergeCell ref="V113:V114"/>
    <mergeCell ref="W113:W114"/>
    <mergeCell ref="L113:L114"/>
    <mergeCell ref="M113:M114"/>
    <mergeCell ref="N113:N114"/>
    <mergeCell ref="O113:O114"/>
    <mergeCell ref="P113:P114"/>
    <mergeCell ref="Q113:Q114"/>
    <mergeCell ref="E115:E116"/>
    <mergeCell ref="D115:D116"/>
    <mergeCell ref="G113:G114"/>
    <mergeCell ref="D113:D114"/>
    <mergeCell ref="E113:E114"/>
    <mergeCell ref="AF115:AF116"/>
    <mergeCell ref="AG115:AG116"/>
    <mergeCell ref="A117:A118"/>
    <mergeCell ref="B117:B118"/>
    <mergeCell ref="C117:C118"/>
    <mergeCell ref="F117:F118"/>
    <mergeCell ref="H117:H118"/>
    <mergeCell ref="I117:I118"/>
    <mergeCell ref="J117:J118"/>
    <mergeCell ref="K117:K118"/>
    <mergeCell ref="X115:X116"/>
    <mergeCell ref="Y115:Y116"/>
    <mergeCell ref="Z115:Z116"/>
    <mergeCell ref="AC115:AC116"/>
    <mergeCell ref="AD115:AD116"/>
    <mergeCell ref="AE115:AE116"/>
    <mergeCell ref="R115:R116"/>
    <mergeCell ref="S115:S116"/>
    <mergeCell ref="T115:T116"/>
    <mergeCell ref="U115:U116"/>
    <mergeCell ref="V115:V116"/>
    <mergeCell ref="W115:W116"/>
    <mergeCell ref="L115:L116"/>
    <mergeCell ref="M115:M116"/>
    <mergeCell ref="N115:N116"/>
    <mergeCell ref="O115:O116"/>
    <mergeCell ref="P115:P116"/>
    <mergeCell ref="Q115:Q116"/>
    <mergeCell ref="E117:E118"/>
    <mergeCell ref="AF117:AF118"/>
    <mergeCell ref="AG117:AG118"/>
    <mergeCell ref="G115:G116"/>
    <mergeCell ref="A119:A120"/>
    <mergeCell ref="B119:B120"/>
    <mergeCell ref="C119:C120"/>
    <mergeCell ref="F119:F120"/>
    <mergeCell ref="H119:H120"/>
    <mergeCell ref="I119:I120"/>
    <mergeCell ref="J119:J120"/>
    <mergeCell ref="K119:K120"/>
    <mergeCell ref="X117:X118"/>
    <mergeCell ref="Y117:Y118"/>
    <mergeCell ref="Z117:Z118"/>
    <mergeCell ref="AC117:AC118"/>
    <mergeCell ref="AD117:AD118"/>
    <mergeCell ref="AE117:AE118"/>
    <mergeCell ref="R117:R118"/>
    <mergeCell ref="S117:S118"/>
    <mergeCell ref="T117:T118"/>
    <mergeCell ref="U117:U118"/>
    <mergeCell ref="V117:V118"/>
    <mergeCell ref="W117:W118"/>
    <mergeCell ref="L117:L118"/>
    <mergeCell ref="M117:M118"/>
    <mergeCell ref="N117:N118"/>
    <mergeCell ref="O117:O118"/>
    <mergeCell ref="P117:P118"/>
    <mergeCell ref="Q117:Q118"/>
    <mergeCell ref="E119:E120"/>
    <mergeCell ref="G117:G118"/>
    <mergeCell ref="D117:D118"/>
    <mergeCell ref="AG119:AG120"/>
    <mergeCell ref="A121:A122"/>
    <mergeCell ref="B121:B122"/>
    <mergeCell ref="C121:C122"/>
    <mergeCell ref="F121:F122"/>
    <mergeCell ref="H121:H122"/>
    <mergeCell ref="I121:I122"/>
    <mergeCell ref="J121:J122"/>
    <mergeCell ref="K121:K122"/>
    <mergeCell ref="L121:L122"/>
    <mergeCell ref="Y119:Y120"/>
    <mergeCell ref="Z119:Z120"/>
    <mergeCell ref="AC119:AC120"/>
    <mergeCell ref="AD119:AD120"/>
    <mergeCell ref="AE119:AE120"/>
    <mergeCell ref="AF119:AF120"/>
    <mergeCell ref="S119:S120"/>
    <mergeCell ref="T119:T120"/>
    <mergeCell ref="U119:U120"/>
    <mergeCell ref="V119:V120"/>
    <mergeCell ref="W119:W120"/>
    <mergeCell ref="X119:X120"/>
    <mergeCell ref="L119:L120"/>
    <mergeCell ref="M119:M120"/>
    <mergeCell ref="N119:N120"/>
    <mergeCell ref="O119:O120"/>
    <mergeCell ref="P119:P120"/>
    <mergeCell ref="Q119:Q120"/>
    <mergeCell ref="E121:E122"/>
    <mergeCell ref="AG121:AG122"/>
    <mergeCell ref="G119:G120"/>
    <mergeCell ref="D119:D120"/>
    <mergeCell ref="A123:A124"/>
    <mergeCell ref="B123:B124"/>
    <mergeCell ref="C123:C124"/>
    <mergeCell ref="F123:F124"/>
    <mergeCell ref="H123:H124"/>
    <mergeCell ref="I123:I124"/>
    <mergeCell ref="J123:J124"/>
    <mergeCell ref="K123:K124"/>
    <mergeCell ref="L123:L124"/>
    <mergeCell ref="Y121:Y122"/>
    <mergeCell ref="Z121:Z122"/>
    <mergeCell ref="AC121:AC122"/>
    <mergeCell ref="AD121:AD122"/>
    <mergeCell ref="AE121:AE122"/>
    <mergeCell ref="AF121:AF122"/>
    <mergeCell ref="S121:S122"/>
    <mergeCell ref="T121:T122"/>
    <mergeCell ref="U121:U122"/>
    <mergeCell ref="V121:V122"/>
    <mergeCell ref="W121:W122"/>
    <mergeCell ref="X121:X122"/>
    <mergeCell ref="M121:M122"/>
    <mergeCell ref="N121:N122"/>
    <mergeCell ref="O121:O122"/>
    <mergeCell ref="P121:P122"/>
    <mergeCell ref="Q121:Q122"/>
    <mergeCell ref="R121:R122"/>
    <mergeCell ref="E123:E124"/>
    <mergeCell ref="D121:D122"/>
    <mergeCell ref="G121:G122"/>
    <mergeCell ref="G125:G126"/>
    <mergeCell ref="D125:D126"/>
    <mergeCell ref="Z123:Z124"/>
    <mergeCell ref="AC123:AC124"/>
    <mergeCell ref="AD123:AD124"/>
    <mergeCell ref="AE123:AE124"/>
    <mergeCell ref="AF123:AF124"/>
    <mergeCell ref="AG123:AG124"/>
    <mergeCell ref="T123:T124"/>
    <mergeCell ref="U123:U124"/>
    <mergeCell ref="V123:V124"/>
    <mergeCell ref="W123:W124"/>
    <mergeCell ref="X123:X124"/>
    <mergeCell ref="Y123:Y124"/>
    <mergeCell ref="M123:M124"/>
    <mergeCell ref="N123:N124"/>
    <mergeCell ref="O123:O124"/>
    <mergeCell ref="P123:P124"/>
    <mergeCell ref="Q123:Q124"/>
    <mergeCell ref="S123:S124"/>
    <mergeCell ref="E125:E126"/>
    <mergeCell ref="AE125:AE126"/>
    <mergeCell ref="AF125:AF126"/>
    <mergeCell ref="AG125:AG126"/>
    <mergeCell ref="G123:G124"/>
    <mergeCell ref="D123:D124"/>
    <mergeCell ref="A127:A128"/>
    <mergeCell ref="B127:B128"/>
    <mergeCell ref="C127:C128"/>
    <mergeCell ref="F127:F128"/>
    <mergeCell ref="H127:H128"/>
    <mergeCell ref="I127:I128"/>
    <mergeCell ref="J127:J128"/>
    <mergeCell ref="W125:W126"/>
    <mergeCell ref="X125:X126"/>
    <mergeCell ref="Y125:Y126"/>
    <mergeCell ref="Z125:Z126"/>
    <mergeCell ref="AC125:AC126"/>
    <mergeCell ref="AD125:AD126"/>
    <mergeCell ref="P125:P126"/>
    <mergeCell ref="Q125:Q126"/>
    <mergeCell ref="S125:S126"/>
    <mergeCell ref="T125:T126"/>
    <mergeCell ref="U125:U126"/>
    <mergeCell ref="V125:V126"/>
    <mergeCell ref="J125:J126"/>
    <mergeCell ref="K125:K126"/>
    <mergeCell ref="L125:L126"/>
    <mergeCell ref="M125:M126"/>
    <mergeCell ref="N125:N126"/>
    <mergeCell ref="O125:O126"/>
    <mergeCell ref="A125:A126"/>
    <mergeCell ref="B125:B126"/>
    <mergeCell ref="C125:C126"/>
    <mergeCell ref="F125:F126"/>
    <mergeCell ref="E127:E128"/>
    <mergeCell ref="H125:H126"/>
    <mergeCell ref="I125:I126"/>
    <mergeCell ref="AF127:AF128"/>
    <mergeCell ref="AG127:AG128"/>
    <mergeCell ref="A129:A130"/>
    <mergeCell ref="B129:B130"/>
    <mergeCell ref="C129:C130"/>
    <mergeCell ref="F129:F130"/>
    <mergeCell ref="H129:H130"/>
    <mergeCell ref="I129:I130"/>
    <mergeCell ref="J129:J130"/>
    <mergeCell ref="K129:K130"/>
    <mergeCell ref="X127:X128"/>
    <mergeCell ref="Y127:Y128"/>
    <mergeCell ref="Z127:Z128"/>
    <mergeCell ref="AC127:AC128"/>
    <mergeCell ref="AD127:AD128"/>
    <mergeCell ref="AE127:AE128"/>
    <mergeCell ref="Q127:Q128"/>
    <mergeCell ref="S127:S128"/>
    <mergeCell ref="T127:T128"/>
    <mergeCell ref="U127:U128"/>
    <mergeCell ref="V127:V128"/>
    <mergeCell ref="W127:W128"/>
    <mergeCell ref="K127:K128"/>
    <mergeCell ref="L127:L128"/>
    <mergeCell ref="M127:M128"/>
    <mergeCell ref="N127:N128"/>
    <mergeCell ref="O127:O128"/>
    <mergeCell ref="P127:P128"/>
    <mergeCell ref="AF129:AF130"/>
    <mergeCell ref="AG129:AG130"/>
    <mergeCell ref="G127:G128"/>
    <mergeCell ref="D127:D128"/>
    <mergeCell ref="A131:A133"/>
    <mergeCell ref="B131:B133"/>
    <mergeCell ref="C131:C133"/>
    <mergeCell ref="F131:F133"/>
    <mergeCell ref="H131:H133"/>
    <mergeCell ref="I131:I133"/>
    <mergeCell ref="J131:J133"/>
    <mergeCell ref="K131:K133"/>
    <mergeCell ref="X129:X130"/>
    <mergeCell ref="Y129:Y130"/>
    <mergeCell ref="Z129:Z130"/>
    <mergeCell ref="AC129:AC130"/>
    <mergeCell ref="AD129:AD130"/>
    <mergeCell ref="AE129:AE130"/>
    <mergeCell ref="R129:R130"/>
    <mergeCell ref="S129:S130"/>
    <mergeCell ref="T129:T130"/>
    <mergeCell ref="U129:U130"/>
    <mergeCell ref="V129:V130"/>
    <mergeCell ref="W129:W130"/>
    <mergeCell ref="L129:L130"/>
    <mergeCell ref="M129:M130"/>
    <mergeCell ref="N129:N130"/>
    <mergeCell ref="O129:O130"/>
    <mergeCell ref="P129:P130"/>
    <mergeCell ref="Q129:Q130"/>
    <mergeCell ref="G129:G130"/>
    <mergeCell ref="D129:D130"/>
    <mergeCell ref="E129:E130"/>
    <mergeCell ref="AG131:AG133"/>
    <mergeCell ref="A134:A135"/>
    <mergeCell ref="B134:B135"/>
    <mergeCell ref="C134:C135"/>
    <mergeCell ref="F134:F135"/>
    <mergeCell ref="H134:H135"/>
    <mergeCell ref="I134:I135"/>
    <mergeCell ref="J134:J135"/>
    <mergeCell ref="K134:K135"/>
    <mergeCell ref="L134:L135"/>
    <mergeCell ref="Y131:Y133"/>
    <mergeCell ref="Z131:Z133"/>
    <mergeCell ref="AC131:AC133"/>
    <mergeCell ref="AD131:AD133"/>
    <mergeCell ref="AE131:AE133"/>
    <mergeCell ref="AF131:AF133"/>
    <mergeCell ref="S131:S133"/>
    <mergeCell ref="T131:T133"/>
    <mergeCell ref="U131:U133"/>
    <mergeCell ref="V131:V133"/>
    <mergeCell ref="W131:W133"/>
    <mergeCell ref="X131:X133"/>
    <mergeCell ref="L131:L133"/>
    <mergeCell ref="M131:M133"/>
    <mergeCell ref="N131:N133"/>
    <mergeCell ref="O131:O133"/>
    <mergeCell ref="P131:P133"/>
    <mergeCell ref="Q131:Q133"/>
    <mergeCell ref="AG134:AG135"/>
    <mergeCell ref="G131:G133"/>
    <mergeCell ref="D131:D133"/>
    <mergeCell ref="E131:E133"/>
    <mergeCell ref="A136:A137"/>
    <mergeCell ref="B136:B137"/>
    <mergeCell ref="C136:C137"/>
    <mergeCell ref="F136:F137"/>
    <mergeCell ref="H136:H137"/>
    <mergeCell ref="I136:I137"/>
    <mergeCell ref="J136:J137"/>
    <mergeCell ref="K136:K137"/>
    <mergeCell ref="L136:L137"/>
    <mergeCell ref="Y134:Y135"/>
    <mergeCell ref="Z134:Z135"/>
    <mergeCell ref="AC134:AC135"/>
    <mergeCell ref="AD134:AD135"/>
    <mergeCell ref="AE134:AE135"/>
    <mergeCell ref="AF134:AF135"/>
    <mergeCell ref="S134:S135"/>
    <mergeCell ref="T134:T135"/>
    <mergeCell ref="U134:U135"/>
    <mergeCell ref="V134:V135"/>
    <mergeCell ref="W134:W135"/>
    <mergeCell ref="X134:X135"/>
    <mergeCell ref="M134:M135"/>
    <mergeCell ref="N134:N135"/>
    <mergeCell ref="O134:O135"/>
    <mergeCell ref="P134:P135"/>
    <mergeCell ref="Q134:Q135"/>
    <mergeCell ref="R134:R135"/>
    <mergeCell ref="G134:G135"/>
    <mergeCell ref="D134:D135"/>
    <mergeCell ref="E134:E135"/>
    <mergeCell ref="E138:E139"/>
    <mergeCell ref="AG136:AG137"/>
    <mergeCell ref="A138:A139"/>
    <mergeCell ref="B138:B139"/>
    <mergeCell ref="C138:C139"/>
    <mergeCell ref="F138:F139"/>
    <mergeCell ref="H138:H139"/>
    <mergeCell ref="I138:I139"/>
    <mergeCell ref="J138:J139"/>
    <mergeCell ref="K138:K139"/>
    <mergeCell ref="L138:L139"/>
    <mergeCell ref="Y136:Y137"/>
    <mergeCell ref="Z136:Z137"/>
    <mergeCell ref="AC136:AC137"/>
    <mergeCell ref="AD136:AD137"/>
    <mergeCell ref="AE136:AE137"/>
    <mergeCell ref="AF136:AF137"/>
    <mergeCell ref="S136:S137"/>
    <mergeCell ref="T136:T137"/>
    <mergeCell ref="U136:U137"/>
    <mergeCell ref="V136:V137"/>
    <mergeCell ref="W136:W137"/>
    <mergeCell ref="X136:X137"/>
    <mergeCell ref="M136:M137"/>
    <mergeCell ref="N136:N137"/>
    <mergeCell ref="O136:O137"/>
    <mergeCell ref="P136:P137"/>
    <mergeCell ref="Q136:Q137"/>
    <mergeCell ref="R136:R137"/>
    <mergeCell ref="D136:D137"/>
    <mergeCell ref="G136:G137"/>
    <mergeCell ref="E136:E137"/>
    <mergeCell ref="A140:A143"/>
    <mergeCell ref="B140:B143"/>
    <mergeCell ref="C140:C143"/>
    <mergeCell ref="F140:F143"/>
    <mergeCell ref="H140:H143"/>
    <mergeCell ref="I140:I143"/>
    <mergeCell ref="D140:D143"/>
    <mergeCell ref="G140:G143"/>
    <mergeCell ref="E140:E143"/>
    <mergeCell ref="Z138:Z139"/>
    <mergeCell ref="AC138:AC139"/>
    <mergeCell ref="AD138:AD139"/>
    <mergeCell ref="AE138:AE139"/>
    <mergeCell ref="AF138:AF139"/>
    <mergeCell ref="AG138:AG139"/>
    <mergeCell ref="T138:T139"/>
    <mergeCell ref="U138:U139"/>
    <mergeCell ref="V138:V139"/>
    <mergeCell ref="W138:W139"/>
    <mergeCell ref="X138:X139"/>
    <mergeCell ref="Y138:Y139"/>
    <mergeCell ref="M138:M139"/>
    <mergeCell ref="N138:N139"/>
    <mergeCell ref="O138:O139"/>
    <mergeCell ref="P138:P139"/>
    <mergeCell ref="Q138:Q139"/>
    <mergeCell ref="S138:S139"/>
    <mergeCell ref="AE140:AE143"/>
    <mergeCell ref="AF140:AF143"/>
    <mergeCell ref="AG140:AG143"/>
    <mergeCell ref="G138:G139"/>
    <mergeCell ref="D138:D139"/>
    <mergeCell ref="B144:B145"/>
    <mergeCell ref="C144:C145"/>
    <mergeCell ref="F144:F145"/>
    <mergeCell ref="H144:H145"/>
    <mergeCell ref="I144:I145"/>
    <mergeCell ref="J144:J145"/>
    <mergeCell ref="W140:W143"/>
    <mergeCell ref="X140:X143"/>
    <mergeCell ref="Y140:Y143"/>
    <mergeCell ref="Z140:Z143"/>
    <mergeCell ref="AC140:AC143"/>
    <mergeCell ref="AD140:AD143"/>
    <mergeCell ref="P140:P143"/>
    <mergeCell ref="Q140:Q143"/>
    <mergeCell ref="S140:S143"/>
    <mergeCell ref="T140:T143"/>
    <mergeCell ref="U140:U143"/>
    <mergeCell ref="V140:V143"/>
    <mergeCell ref="J140:J143"/>
    <mergeCell ref="K140:K143"/>
    <mergeCell ref="L140:L143"/>
    <mergeCell ref="M140:M143"/>
    <mergeCell ref="N140:N143"/>
    <mergeCell ref="O140:O143"/>
    <mergeCell ref="AG144:AG145"/>
    <mergeCell ref="A146:A147"/>
    <mergeCell ref="B146:B147"/>
    <mergeCell ref="C146:C147"/>
    <mergeCell ref="F146:F147"/>
    <mergeCell ref="H146:H147"/>
    <mergeCell ref="I146:I147"/>
    <mergeCell ref="J146:J147"/>
    <mergeCell ref="K146:K147"/>
    <mergeCell ref="X144:X145"/>
    <mergeCell ref="Y144:Y145"/>
    <mergeCell ref="Z144:Z145"/>
    <mergeCell ref="AC144:AC145"/>
    <mergeCell ref="AD144:AD145"/>
    <mergeCell ref="AE144:AE145"/>
    <mergeCell ref="Q144:Q145"/>
    <mergeCell ref="S144:S145"/>
    <mergeCell ref="T144:T145"/>
    <mergeCell ref="U144:U145"/>
    <mergeCell ref="V144:V145"/>
    <mergeCell ref="W144:W145"/>
    <mergeCell ref="K144:K145"/>
    <mergeCell ref="L144:L145"/>
    <mergeCell ref="M144:M145"/>
    <mergeCell ref="N144:N145"/>
    <mergeCell ref="O144:O145"/>
    <mergeCell ref="P144:P145"/>
    <mergeCell ref="AG146:AG147"/>
    <mergeCell ref="G144:G145"/>
    <mergeCell ref="D144:D145"/>
    <mergeCell ref="E144:E145"/>
    <mergeCell ref="A144:A145"/>
    <mergeCell ref="AF146:AF147"/>
    <mergeCell ref="S146:S147"/>
    <mergeCell ref="T146:T147"/>
    <mergeCell ref="U146:U147"/>
    <mergeCell ref="V146:V147"/>
    <mergeCell ref="W146:W147"/>
    <mergeCell ref="X146:X147"/>
    <mergeCell ref="L146:L147"/>
    <mergeCell ref="M146:M147"/>
    <mergeCell ref="N146:N147"/>
    <mergeCell ref="O146:O147"/>
    <mergeCell ref="P146:P147"/>
    <mergeCell ref="Q146:Q147"/>
    <mergeCell ref="D146:D147"/>
    <mergeCell ref="G146:G147"/>
    <mergeCell ref="E146:E147"/>
    <mergeCell ref="AF144:AF145"/>
    <mergeCell ref="D148:D149"/>
    <mergeCell ref="G148:G149"/>
    <mergeCell ref="E148:E149"/>
    <mergeCell ref="A148:A149"/>
    <mergeCell ref="B148:B149"/>
    <mergeCell ref="C148:C149"/>
    <mergeCell ref="F148:F149"/>
    <mergeCell ref="H148:H149"/>
    <mergeCell ref="I148:I149"/>
    <mergeCell ref="J148:J149"/>
    <mergeCell ref="K148:K149"/>
    <mergeCell ref="L148:L149"/>
    <mergeCell ref="Y146:Y147"/>
    <mergeCell ref="Z146:Z147"/>
    <mergeCell ref="AC146:AC147"/>
    <mergeCell ref="AD146:AD147"/>
    <mergeCell ref="AE146:AE147"/>
    <mergeCell ref="G150:G151"/>
    <mergeCell ref="E150:E151"/>
    <mergeCell ref="Z148:Z149"/>
    <mergeCell ref="AC148:AC149"/>
    <mergeCell ref="AD148:AD149"/>
    <mergeCell ref="AE148:AE149"/>
    <mergeCell ref="AF148:AF149"/>
    <mergeCell ref="AG148:AG149"/>
    <mergeCell ref="T148:T149"/>
    <mergeCell ref="U148:U149"/>
    <mergeCell ref="V148:V149"/>
    <mergeCell ref="W148:W149"/>
    <mergeCell ref="X148:X149"/>
    <mergeCell ref="Y148:Y149"/>
    <mergeCell ref="M148:M149"/>
    <mergeCell ref="N148:N149"/>
    <mergeCell ref="O148:O149"/>
    <mergeCell ref="P148:P149"/>
    <mergeCell ref="Q148:Q149"/>
    <mergeCell ref="S148:S149"/>
    <mergeCell ref="AE150:AE151"/>
    <mergeCell ref="AF150:AF151"/>
    <mergeCell ref="AG150:AG151"/>
    <mergeCell ref="A152:A153"/>
    <mergeCell ref="B152:B153"/>
    <mergeCell ref="C152:C153"/>
    <mergeCell ref="F152:F153"/>
    <mergeCell ref="H152:H153"/>
    <mergeCell ref="I152:I153"/>
    <mergeCell ref="J152:J153"/>
    <mergeCell ref="W150:W151"/>
    <mergeCell ref="X150:X151"/>
    <mergeCell ref="Y150:Y151"/>
    <mergeCell ref="Z150:Z151"/>
    <mergeCell ref="AC150:AC151"/>
    <mergeCell ref="AD150:AD151"/>
    <mergeCell ref="P150:P151"/>
    <mergeCell ref="Q150:Q151"/>
    <mergeCell ref="S150:S151"/>
    <mergeCell ref="T150:T151"/>
    <mergeCell ref="U150:U151"/>
    <mergeCell ref="V150:V151"/>
    <mergeCell ref="J150:J151"/>
    <mergeCell ref="K150:K151"/>
    <mergeCell ref="L150:L151"/>
    <mergeCell ref="M150:M151"/>
    <mergeCell ref="N150:N151"/>
    <mergeCell ref="O150:O151"/>
    <mergeCell ref="A150:A151"/>
    <mergeCell ref="B150:B151"/>
    <mergeCell ref="C150:C151"/>
    <mergeCell ref="F150:F151"/>
    <mergeCell ref="H150:H151"/>
    <mergeCell ref="I150:I151"/>
    <mergeCell ref="D150:D151"/>
    <mergeCell ref="AF152:AF153"/>
    <mergeCell ref="AG152:AG153"/>
    <mergeCell ref="A154:A156"/>
    <mergeCell ref="B154:B156"/>
    <mergeCell ref="C154:C156"/>
    <mergeCell ref="F154:F156"/>
    <mergeCell ref="H154:H156"/>
    <mergeCell ref="I154:I156"/>
    <mergeCell ref="J154:J156"/>
    <mergeCell ref="K154:K156"/>
    <mergeCell ref="X152:X153"/>
    <mergeCell ref="Y152:Y153"/>
    <mergeCell ref="Z152:Z153"/>
    <mergeCell ref="AC152:AC153"/>
    <mergeCell ref="AD152:AD153"/>
    <mergeCell ref="AE152:AE153"/>
    <mergeCell ref="Q152:Q153"/>
    <mergeCell ref="S152:S153"/>
    <mergeCell ref="T152:T153"/>
    <mergeCell ref="U152:U153"/>
    <mergeCell ref="V152:V153"/>
    <mergeCell ref="W152:W153"/>
    <mergeCell ref="K152:K153"/>
    <mergeCell ref="L152:L153"/>
    <mergeCell ref="M152:M153"/>
    <mergeCell ref="N152:N153"/>
    <mergeCell ref="O152:O153"/>
    <mergeCell ref="P152:P153"/>
    <mergeCell ref="AG154:AG156"/>
    <mergeCell ref="G152:G153"/>
    <mergeCell ref="D152:D153"/>
    <mergeCell ref="E152:E153"/>
    <mergeCell ref="B157:B158"/>
    <mergeCell ref="C157:C158"/>
    <mergeCell ref="F157:F158"/>
    <mergeCell ref="H157:H158"/>
    <mergeCell ref="I157:I158"/>
    <mergeCell ref="J157:J158"/>
    <mergeCell ref="K157:K158"/>
    <mergeCell ref="L157:L158"/>
    <mergeCell ref="Y154:Y156"/>
    <mergeCell ref="Z154:Z156"/>
    <mergeCell ref="AC154:AC156"/>
    <mergeCell ref="AD154:AD156"/>
    <mergeCell ref="AE154:AE156"/>
    <mergeCell ref="AF154:AF156"/>
    <mergeCell ref="S154:S156"/>
    <mergeCell ref="T154:T156"/>
    <mergeCell ref="U154:U156"/>
    <mergeCell ref="V154:V156"/>
    <mergeCell ref="W154:W156"/>
    <mergeCell ref="X154:X156"/>
    <mergeCell ref="L154:L156"/>
    <mergeCell ref="M154:M156"/>
    <mergeCell ref="N154:N156"/>
    <mergeCell ref="O154:O156"/>
    <mergeCell ref="P154:P156"/>
    <mergeCell ref="Q154:Q156"/>
    <mergeCell ref="D154:D156"/>
    <mergeCell ref="G154:G156"/>
    <mergeCell ref="E154:E156"/>
    <mergeCell ref="AG157:AG158"/>
    <mergeCell ref="A159:A161"/>
    <mergeCell ref="B159:B161"/>
    <mergeCell ref="C159:C161"/>
    <mergeCell ref="F159:F161"/>
    <mergeCell ref="H159:H161"/>
    <mergeCell ref="I159:I161"/>
    <mergeCell ref="J159:J161"/>
    <mergeCell ref="K159:K161"/>
    <mergeCell ref="L159:L161"/>
    <mergeCell ref="Y157:Y158"/>
    <mergeCell ref="Z157:Z158"/>
    <mergeCell ref="AC157:AC158"/>
    <mergeCell ref="AD157:AD158"/>
    <mergeCell ref="AE157:AE158"/>
    <mergeCell ref="AF157:AF158"/>
    <mergeCell ref="S157:S158"/>
    <mergeCell ref="T157:T158"/>
    <mergeCell ref="U157:U158"/>
    <mergeCell ref="V157:V158"/>
    <mergeCell ref="W157:W158"/>
    <mergeCell ref="X157:X158"/>
    <mergeCell ref="M157:M158"/>
    <mergeCell ref="N157:N158"/>
    <mergeCell ref="O157:O158"/>
    <mergeCell ref="P157:P158"/>
    <mergeCell ref="Q157:Q158"/>
    <mergeCell ref="R157:R158"/>
    <mergeCell ref="G157:G158"/>
    <mergeCell ref="D157:D158"/>
    <mergeCell ref="E157:E158"/>
    <mergeCell ref="A157:A158"/>
    <mergeCell ref="I162:I163"/>
    <mergeCell ref="G162:G163"/>
    <mergeCell ref="D162:D163"/>
    <mergeCell ref="E162:E163"/>
    <mergeCell ref="Z159:Z161"/>
    <mergeCell ref="AC159:AC161"/>
    <mergeCell ref="AD159:AD161"/>
    <mergeCell ref="AE159:AE161"/>
    <mergeCell ref="AF159:AF161"/>
    <mergeCell ref="AG159:AG161"/>
    <mergeCell ref="T159:T161"/>
    <mergeCell ref="U159:U161"/>
    <mergeCell ref="V159:V161"/>
    <mergeCell ref="W159:W161"/>
    <mergeCell ref="X159:X161"/>
    <mergeCell ref="Y159:Y161"/>
    <mergeCell ref="M159:M161"/>
    <mergeCell ref="N159:N161"/>
    <mergeCell ref="O159:O161"/>
    <mergeCell ref="P159:P161"/>
    <mergeCell ref="Q159:Q161"/>
    <mergeCell ref="S159:S161"/>
    <mergeCell ref="AD162:AD163"/>
    <mergeCell ref="AE162:AE163"/>
    <mergeCell ref="AF162:AF163"/>
    <mergeCell ref="AG162:AG163"/>
    <mergeCell ref="G159:G161"/>
    <mergeCell ref="D159:D161"/>
    <mergeCell ref="E159:E161"/>
    <mergeCell ref="A164:A165"/>
    <mergeCell ref="B164:B165"/>
    <mergeCell ref="C164:C165"/>
    <mergeCell ref="F164:F165"/>
    <mergeCell ref="H164:H165"/>
    <mergeCell ref="I164:I165"/>
    <mergeCell ref="V162:V163"/>
    <mergeCell ref="W162:W163"/>
    <mergeCell ref="X162:X163"/>
    <mergeCell ref="Y162:Y163"/>
    <mergeCell ref="Z162:Z163"/>
    <mergeCell ref="AC162:AC163"/>
    <mergeCell ref="P162:P163"/>
    <mergeCell ref="Q162:Q163"/>
    <mergeCell ref="R162:R163"/>
    <mergeCell ref="S162:S163"/>
    <mergeCell ref="T162:T163"/>
    <mergeCell ref="U162:U163"/>
    <mergeCell ref="J162:J163"/>
    <mergeCell ref="K162:K163"/>
    <mergeCell ref="L162:L163"/>
    <mergeCell ref="M162:M163"/>
    <mergeCell ref="N162:N163"/>
    <mergeCell ref="O162:O163"/>
    <mergeCell ref="A162:A163"/>
    <mergeCell ref="B162:B163"/>
    <mergeCell ref="C162:C163"/>
    <mergeCell ref="F162:F163"/>
    <mergeCell ref="G164:G165"/>
    <mergeCell ref="D164:D165"/>
    <mergeCell ref="E164:E165"/>
    <mergeCell ref="H162:H163"/>
    <mergeCell ref="AD164:AD165"/>
    <mergeCell ref="AE164:AE165"/>
    <mergeCell ref="AF164:AF165"/>
    <mergeCell ref="AG164:AG165"/>
    <mergeCell ref="A166:A167"/>
    <mergeCell ref="B166:B167"/>
    <mergeCell ref="C166:C167"/>
    <mergeCell ref="F166:F167"/>
    <mergeCell ref="H166:H167"/>
    <mergeCell ref="I166:I167"/>
    <mergeCell ref="V164:V165"/>
    <mergeCell ref="W164:W165"/>
    <mergeCell ref="X164:X165"/>
    <mergeCell ref="Y164:Y165"/>
    <mergeCell ref="Z164:Z165"/>
    <mergeCell ref="AC164:AC165"/>
    <mergeCell ref="P164:P165"/>
    <mergeCell ref="Q164:Q165"/>
    <mergeCell ref="R164:R165"/>
    <mergeCell ref="S164:S165"/>
    <mergeCell ref="T164:T165"/>
    <mergeCell ref="U164:U165"/>
    <mergeCell ref="J164:J165"/>
    <mergeCell ref="K164:K165"/>
    <mergeCell ref="L164:L165"/>
    <mergeCell ref="M164:M165"/>
    <mergeCell ref="N164:N165"/>
    <mergeCell ref="O164:O165"/>
    <mergeCell ref="AD166:AD167"/>
    <mergeCell ref="AE166:AE167"/>
    <mergeCell ref="AF166:AF167"/>
    <mergeCell ref="AG166:AG167"/>
    <mergeCell ref="A168:A169"/>
    <mergeCell ref="B168:B169"/>
    <mergeCell ref="C168:C169"/>
    <mergeCell ref="F168:F169"/>
    <mergeCell ref="H168:H169"/>
    <mergeCell ref="I168:I169"/>
    <mergeCell ref="V166:V167"/>
    <mergeCell ref="W166:W167"/>
    <mergeCell ref="X166:X167"/>
    <mergeCell ref="Y166:Y167"/>
    <mergeCell ref="Z166:Z167"/>
    <mergeCell ref="AC166:AC167"/>
    <mergeCell ref="P166:P167"/>
    <mergeCell ref="Q166:Q167"/>
    <mergeCell ref="R166:R167"/>
    <mergeCell ref="S166:S167"/>
    <mergeCell ref="T166:T167"/>
    <mergeCell ref="U166:U167"/>
    <mergeCell ref="J166:J167"/>
    <mergeCell ref="K166:K167"/>
    <mergeCell ref="L166:L167"/>
    <mergeCell ref="M166:M167"/>
    <mergeCell ref="N166:N167"/>
    <mergeCell ref="O166:O167"/>
    <mergeCell ref="G166:G167"/>
    <mergeCell ref="D166:D167"/>
    <mergeCell ref="E166:E167"/>
    <mergeCell ref="E168:E169"/>
    <mergeCell ref="AE168:AE169"/>
    <mergeCell ref="AF168:AF169"/>
    <mergeCell ref="AG168:AG169"/>
    <mergeCell ref="A170:A171"/>
    <mergeCell ref="B170:B171"/>
    <mergeCell ref="C170:C171"/>
    <mergeCell ref="F170:F171"/>
    <mergeCell ref="H170:H171"/>
    <mergeCell ref="I170:I171"/>
    <mergeCell ref="J170:J171"/>
    <mergeCell ref="W168:W169"/>
    <mergeCell ref="X168:X169"/>
    <mergeCell ref="Y168:Y169"/>
    <mergeCell ref="Z168:Z169"/>
    <mergeCell ref="AC168:AC169"/>
    <mergeCell ref="AD168:AD169"/>
    <mergeCell ref="P168:P169"/>
    <mergeCell ref="Q168:Q169"/>
    <mergeCell ref="S168:S169"/>
    <mergeCell ref="T168:T169"/>
    <mergeCell ref="U168:U169"/>
    <mergeCell ref="V168:V169"/>
    <mergeCell ref="J168:J169"/>
    <mergeCell ref="K168:K169"/>
    <mergeCell ref="L168:L169"/>
    <mergeCell ref="M168:M169"/>
    <mergeCell ref="N168:N169"/>
    <mergeCell ref="O168:O169"/>
    <mergeCell ref="AF170:AF171"/>
    <mergeCell ref="AG170:AG171"/>
    <mergeCell ref="G168:G169"/>
    <mergeCell ref="D168:D169"/>
    <mergeCell ref="A172:A173"/>
    <mergeCell ref="B172:B173"/>
    <mergeCell ref="C172:C173"/>
    <mergeCell ref="F172:F173"/>
    <mergeCell ref="H172:H173"/>
    <mergeCell ref="I172:I173"/>
    <mergeCell ref="J172:J173"/>
    <mergeCell ref="K172:K173"/>
    <mergeCell ref="X170:X171"/>
    <mergeCell ref="Y170:Y171"/>
    <mergeCell ref="Z170:Z171"/>
    <mergeCell ref="AC170:AC171"/>
    <mergeCell ref="AD170:AD171"/>
    <mergeCell ref="AE170:AE171"/>
    <mergeCell ref="Q170:Q171"/>
    <mergeCell ref="S170:S171"/>
    <mergeCell ref="T170:T171"/>
    <mergeCell ref="U170:U171"/>
    <mergeCell ref="V170:V171"/>
    <mergeCell ref="W170:W171"/>
    <mergeCell ref="K170:K171"/>
    <mergeCell ref="L170:L171"/>
    <mergeCell ref="M170:M171"/>
    <mergeCell ref="N170:N171"/>
    <mergeCell ref="O170:O171"/>
    <mergeCell ref="P170:P171"/>
    <mergeCell ref="G170:G171"/>
    <mergeCell ref="D170:D171"/>
    <mergeCell ref="E170:E171"/>
    <mergeCell ref="AG172:AG173"/>
    <mergeCell ref="A174:A175"/>
    <mergeCell ref="B174:B175"/>
    <mergeCell ref="C174:C175"/>
    <mergeCell ref="F174:F175"/>
    <mergeCell ref="H174:H175"/>
    <mergeCell ref="I174:I175"/>
    <mergeCell ref="J174:J175"/>
    <mergeCell ref="K174:K175"/>
    <mergeCell ref="L174:L175"/>
    <mergeCell ref="Y172:Y173"/>
    <mergeCell ref="Z172:Z173"/>
    <mergeCell ref="AC172:AC173"/>
    <mergeCell ref="AD172:AD173"/>
    <mergeCell ref="AE172:AE173"/>
    <mergeCell ref="AF172:AF173"/>
    <mergeCell ref="S172:S173"/>
    <mergeCell ref="T172:T173"/>
    <mergeCell ref="U172:U173"/>
    <mergeCell ref="V172:V173"/>
    <mergeCell ref="W172:W173"/>
    <mergeCell ref="X172:X173"/>
    <mergeCell ref="L172:L173"/>
    <mergeCell ref="M172:M173"/>
    <mergeCell ref="N172:N173"/>
    <mergeCell ref="O172:O173"/>
    <mergeCell ref="P172:P173"/>
    <mergeCell ref="Q172:Q173"/>
    <mergeCell ref="AG174:AG175"/>
    <mergeCell ref="G172:G173"/>
    <mergeCell ref="D172:D173"/>
    <mergeCell ref="E172:E173"/>
    <mergeCell ref="A176:A177"/>
    <mergeCell ref="B176:B177"/>
    <mergeCell ref="C176:C177"/>
    <mergeCell ref="F176:F177"/>
    <mergeCell ref="H176:H177"/>
    <mergeCell ref="I176:I177"/>
    <mergeCell ref="J176:J177"/>
    <mergeCell ref="K176:K177"/>
    <mergeCell ref="L176:L177"/>
    <mergeCell ref="Y174:Y175"/>
    <mergeCell ref="Z174:Z175"/>
    <mergeCell ref="AC174:AC175"/>
    <mergeCell ref="AD174:AD175"/>
    <mergeCell ref="AE174:AE175"/>
    <mergeCell ref="AF174:AF175"/>
    <mergeCell ref="S174:S175"/>
    <mergeCell ref="T174:T175"/>
    <mergeCell ref="U174:U175"/>
    <mergeCell ref="V174:V175"/>
    <mergeCell ref="W174:W175"/>
    <mergeCell ref="X174:X175"/>
    <mergeCell ref="M174:M175"/>
    <mergeCell ref="N174:N175"/>
    <mergeCell ref="O174:O175"/>
    <mergeCell ref="P174:P175"/>
    <mergeCell ref="Q174:Q175"/>
    <mergeCell ref="R174:R175"/>
    <mergeCell ref="D174:D175"/>
    <mergeCell ref="G174:G175"/>
    <mergeCell ref="E174:E175"/>
    <mergeCell ref="E178:E179"/>
    <mergeCell ref="AG176:AG177"/>
    <mergeCell ref="A178:A179"/>
    <mergeCell ref="B178:B179"/>
    <mergeCell ref="C178:C179"/>
    <mergeCell ref="F178:F179"/>
    <mergeCell ref="H178:H179"/>
    <mergeCell ref="I178:I179"/>
    <mergeCell ref="J178:J179"/>
    <mergeCell ref="K178:K179"/>
    <mergeCell ref="L178:L179"/>
    <mergeCell ref="Y176:Y177"/>
    <mergeCell ref="Z176:Z177"/>
    <mergeCell ref="AC176:AC177"/>
    <mergeCell ref="AD176:AD177"/>
    <mergeCell ref="AE176:AE177"/>
    <mergeCell ref="AF176:AF177"/>
    <mergeCell ref="S176:S177"/>
    <mergeCell ref="T176:T177"/>
    <mergeCell ref="U176:U177"/>
    <mergeCell ref="V176:V177"/>
    <mergeCell ref="W176:W177"/>
    <mergeCell ref="X176:X177"/>
    <mergeCell ref="M176:M177"/>
    <mergeCell ref="N176:N177"/>
    <mergeCell ref="O176:O177"/>
    <mergeCell ref="P176:P177"/>
    <mergeCell ref="Q176:Q177"/>
    <mergeCell ref="R176:R177"/>
    <mergeCell ref="G176:G177"/>
    <mergeCell ref="D176:D177"/>
    <mergeCell ref="E176:E177"/>
    <mergeCell ref="A180:A182"/>
    <mergeCell ref="B180:B182"/>
    <mergeCell ref="C180:C182"/>
    <mergeCell ref="F180:F182"/>
    <mergeCell ref="H180:H182"/>
    <mergeCell ref="I180:I182"/>
    <mergeCell ref="D180:D182"/>
    <mergeCell ref="G180:G182"/>
    <mergeCell ref="E180:E182"/>
    <mergeCell ref="Z178:Z179"/>
    <mergeCell ref="AC178:AC179"/>
    <mergeCell ref="AD178:AD179"/>
    <mergeCell ref="AE178:AE179"/>
    <mergeCell ref="AF178:AF179"/>
    <mergeCell ref="AG178:AG179"/>
    <mergeCell ref="T178:T179"/>
    <mergeCell ref="U178:U179"/>
    <mergeCell ref="V178:V179"/>
    <mergeCell ref="W178:W179"/>
    <mergeCell ref="X178:X179"/>
    <mergeCell ref="Y178:Y179"/>
    <mergeCell ref="M178:M179"/>
    <mergeCell ref="N178:N179"/>
    <mergeCell ref="O178:O179"/>
    <mergeCell ref="P178:P179"/>
    <mergeCell ref="Q178:Q179"/>
    <mergeCell ref="S178:S179"/>
    <mergeCell ref="AE180:AE182"/>
    <mergeCell ref="AF180:AF182"/>
    <mergeCell ref="AG180:AG182"/>
    <mergeCell ref="D178:D179"/>
    <mergeCell ref="G178:G179"/>
    <mergeCell ref="B183:B184"/>
    <mergeCell ref="C183:C184"/>
    <mergeCell ref="F183:F184"/>
    <mergeCell ref="H183:H184"/>
    <mergeCell ref="I183:I184"/>
    <mergeCell ref="J183:J184"/>
    <mergeCell ref="W180:W182"/>
    <mergeCell ref="X180:X182"/>
    <mergeCell ref="Y180:Y182"/>
    <mergeCell ref="Z180:Z182"/>
    <mergeCell ref="AC180:AC182"/>
    <mergeCell ref="AD180:AD182"/>
    <mergeCell ref="P180:P182"/>
    <mergeCell ref="Q180:Q182"/>
    <mergeCell ref="S180:S182"/>
    <mergeCell ref="T180:T182"/>
    <mergeCell ref="U180:U182"/>
    <mergeCell ref="V180:V182"/>
    <mergeCell ref="J180:J182"/>
    <mergeCell ref="K180:K182"/>
    <mergeCell ref="L180:L182"/>
    <mergeCell ref="M180:M182"/>
    <mergeCell ref="N180:N182"/>
    <mergeCell ref="O180:O182"/>
    <mergeCell ref="AF183:AF184"/>
    <mergeCell ref="AG183:AG184"/>
    <mergeCell ref="A186:A187"/>
    <mergeCell ref="B186:B187"/>
    <mergeCell ref="C186:C187"/>
    <mergeCell ref="F186:F187"/>
    <mergeCell ref="H186:H187"/>
    <mergeCell ref="I186:I187"/>
    <mergeCell ref="J186:J187"/>
    <mergeCell ref="K186:K187"/>
    <mergeCell ref="X183:X184"/>
    <mergeCell ref="Y183:Y184"/>
    <mergeCell ref="Z183:Z184"/>
    <mergeCell ref="AC183:AC184"/>
    <mergeCell ref="AD183:AD184"/>
    <mergeCell ref="AE183:AE184"/>
    <mergeCell ref="Q183:Q184"/>
    <mergeCell ref="S183:S184"/>
    <mergeCell ref="T183:T184"/>
    <mergeCell ref="U183:U184"/>
    <mergeCell ref="V183:V184"/>
    <mergeCell ref="W183:W184"/>
    <mergeCell ref="K183:K184"/>
    <mergeCell ref="L183:L184"/>
    <mergeCell ref="M183:M184"/>
    <mergeCell ref="N183:N184"/>
    <mergeCell ref="O183:O184"/>
    <mergeCell ref="P183:P184"/>
    <mergeCell ref="AG186:AG187"/>
    <mergeCell ref="G183:G184"/>
    <mergeCell ref="E183:E184"/>
    <mergeCell ref="A183:A184"/>
    <mergeCell ref="B188:B189"/>
    <mergeCell ref="C188:C189"/>
    <mergeCell ref="F188:F189"/>
    <mergeCell ref="H188:H189"/>
    <mergeCell ref="I188:I189"/>
    <mergeCell ref="J188:J189"/>
    <mergeCell ref="K188:K189"/>
    <mergeCell ref="L188:L189"/>
    <mergeCell ref="Y186:Y187"/>
    <mergeCell ref="Z186:Z187"/>
    <mergeCell ref="AC186:AC187"/>
    <mergeCell ref="AD186:AD187"/>
    <mergeCell ref="AE186:AE187"/>
    <mergeCell ref="AF186:AF187"/>
    <mergeCell ref="S186:S187"/>
    <mergeCell ref="T186:T187"/>
    <mergeCell ref="U186:U187"/>
    <mergeCell ref="V186:V187"/>
    <mergeCell ref="W186:W187"/>
    <mergeCell ref="X186:X187"/>
    <mergeCell ref="L186:L187"/>
    <mergeCell ref="M186:M187"/>
    <mergeCell ref="N186:N187"/>
    <mergeCell ref="O186:O187"/>
    <mergeCell ref="P186:P187"/>
    <mergeCell ref="Q186:Q187"/>
    <mergeCell ref="D186:D187"/>
    <mergeCell ref="G186:G187"/>
    <mergeCell ref="E186:E187"/>
    <mergeCell ref="AG188:AG189"/>
    <mergeCell ref="A190:A191"/>
    <mergeCell ref="B190:B191"/>
    <mergeCell ref="C190:C191"/>
    <mergeCell ref="F190:F191"/>
    <mergeCell ref="H190:H191"/>
    <mergeCell ref="I190:I191"/>
    <mergeCell ref="J190:J191"/>
    <mergeCell ref="K190:K191"/>
    <mergeCell ref="L190:L191"/>
    <mergeCell ref="Y188:Y189"/>
    <mergeCell ref="Z188:Z189"/>
    <mergeCell ref="AC188:AC189"/>
    <mergeCell ref="AD188:AD189"/>
    <mergeCell ref="AE188:AE189"/>
    <mergeCell ref="AF188:AF189"/>
    <mergeCell ref="S188:S189"/>
    <mergeCell ref="T188:T189"/>
    <mergeCell ref="U188:U189"/>
    <mergeCell ref="V188:V189"/>
    <mergeCell ref="W188:W189"/>
    <mergeCell ref="X188:X189"/>
    <mergeCell ref="M188:M189"/>
    <mergeCell ref="N188:N189"/>
    <mergeCell ref="O188:O189"/>
    <mergeCell ref="P188:P189"/>
    <mergeCell ref="Q188:Q189"/>
    <mergeCell ref="R188:R189"/>
    <mergeCell ref="AG190:AG191"/>
    <mergeCell ref="D188:D189"/>
    <mergeCell ref="G188:G189"/>
    <mergeCell ref="A188:A189"/>
    <mergeCell ref="B192:B193"/>
    <mergeCell ref="C192:C193"/>
    <mergeCell ref="F192:F193"/>
    <mergeCell ref="H192:H193"/>
    <mergeCell ref="I192:I193"/>
    <mergeCell ref="J192:J193"/>
    <mergeCell ref="K192:K193"/>
    <mergeCell ref="L192:L193"/>
    <mergeCell ref="Y190:Y191"/>
    <mergeCell ref="Z190:Z191"/>
    <mergeCell ref="AC190:AC191"/>
    <mergeCell ref="AD190:AD191"/>
    <mergeCell ref="AE190:AE191"/>
    <mergeCell ref="AF190:AF191"/>
    <mergeCell ref="S190:S191"/>
    <mergeCell ref="T190:T191"/>
    <mergeCell ref="U190:U191"/>
    <mergeCell ref="V190:V191"/>
    <mergeCell ref="W190:W191"/>
    <mergeCell ref="X190:X191"/>
    <mergeCell ref="M190:M191"/>
    <mergeCell ref="N190:N191"/>
    <mergeCell ref="O190:O191"/>
    <mergeCell ref="P190:P191"/>
    <mergeCell ref="Q190:Q191"/>
    <mergeCell ref="R190:R191"/>
    <mergeCell ref="G190:G191"/>
    <mergeCell ref="D190:D191"/>
    <mergeCell ref="A194:A196"/>
    <mergeCell ref="B194:B196"/>
    <mergeCell ref="C194:C196"/>
    <mergeCell ref="F194:F196"/>
    <mergeCell ref="H194:H196"/>
    <mergeCell ref="I194:I196"/>
    <mergeCell ref="G194:G196"/>
    <mergeCell ref="D194:D196"/>
    <mergeCell ref="Z192:Z193"/>
    <mergeCell ref="AC192:AC193"/>
    <mergeCell ref="AD192:AD193"/>
    <mergeCell ref="AE192:AE193"/>
    <mergeCell ref="AF192:AF193"/>
    <mergeCell ref="AG192:AG193"/>
    <mergeCell ref="T192:T193"/>
    <mergeCell ref="U192:U193"/>
    <mergeCell ref="V192:V193"/>
    <mergeCell ref="W192:W193"/>
    <mergeCell ref="X192:X193"/>
    <mergeCell ref="Y192:Y193"/>
    <mergeCell ref="M192:M193"/>
    <mergeCell ref="N192:N193"/>
    <mergeCell ref="O192:O193"/>
    <mergeCell ref="P192:P193"/>
    <mergeCell ref="Q192:Q193"/>
    <mergeCell ref="S192:S193"/>
    <mergeCell ref="AE194:AE196"/>
    <mergeCell ref="AF194:AF196"/>
    <mergeCell ref="AG194:AG196"/>
    <mergeCell ref="D192:D193"/>
    <mergeCell ref="G192:G193"/>
    <mergeCell ref="A192:A193"/>
    <mergeCell ref="B197:B198"/>
    <mergeCell ref="C197:C198"/>
    <mergeCell ref="F197:F198"/>
    <mergeCell ref="H197:H198"/>
    <mergeCell ref="I197:I198"/>
    <mergeCell ref="J197:J198"/>
    <mergeCell ref="W194:W196"/>
    <mergeCell ref="X194:X196"/>
    <mergeCell ref="Y194:Y196"/>
    <mergeCell ref="Z194:Z196"/>
    <mergeCell ref="AC194:AC196"/>
    <mergeCell ref="AD194:AD196"/>
    <mergeCell ref="P194:P196"/>
    <mergeCell ref="Q194:Q196"/>
    <mergeCell ref="S194:S196"/>
    <mergeCell ref="T194:T196"/>
    <mergeCell ref="U194:U196"/>
    <mergeCell ref="V194:V196"/>
    <mergeCell ref="J194:J196"/>
    <mergeCell ref="K194:K196"/>
    <mergeCell ref="L194:L196"/>
    <mergeCell ref="M194:M196"/>
    <mergeCell ref="N194:N196"/>
    <mergeCell ref="O194:O196"/>
    <mergeCell ref="AF197:AF198"/>
    <mergeCell ref="AG197:AG198"/>
    <mergeCell ref="A199:A200"/>
    <mergeCell ref="B199:B200"/>
    <mergeCell ref="C199:C200"/>
    <mergeCell ref="F199:F200"/>
    <mergeCell ref="H199:H200"/>
    <mergeCell ref="I199:I200"/>
    <mergeCell ref="J199:J200"/>
    <mergeCell ref="K199:K200"/>
    <mergeCell ref="X197:X198"/>
    <mergeCell ref="Y197:Y198"/>
    <mergeCell ref="Z197:Z198"/>
    <mergeCell ref="AC197:AC198"/>
    <mergeCell ref="AD197:AD198"/>
    <mergeCell ref="AE197:AE198"/>
    <mergeCell ref="Q197:Q198"/>
    <mergeCell ref="S197:S198"/>
    <mergeCell ref="T197:T198"/>
    <mergeCell ref="U197:U198"/>
    <mergeCell ref="V197:V198"/>
    <mergeCell ref="W197:W198"/>
    <mergeCell ref="K197:K198"/>
    <mergeCell ref="L197:L198"/>
    <mergeCell ref="M197:M198"/>
    <mergeCell ref="N197:N198"/>
    <mergeCell ref="O197:O198"/>
    <mergeCell ref="P197:P198"/>
    <mergeCell ref="AG199:AG200"/>
    <mergeCell ref="D197:D198"/>
    <mergeCell ref="G197:G198"/>
    <mergeCell ref="A197:A198"/>
    <mergeCell ref="A201:A202"/>
    <mergeCell ref="B201:B202"/>
    <mergeCell ref="C201:C202"/>
    <mergeCell ref="F201:F202"/>
    <mergeCell ref="H201:H202"/>
    <mergeCell ref="I201:I202"/>
    <mergeCell ref="J201:J202"/>
    <mergeCell ref="K201:K202"/>
    <mergeCell ref="L201:L202"/>
    <mergeCell ref="Y199:Y200"/>
    <mergeCell ref="Z199:Z200"/>
    <mergeCell ref="AC199:AC200"/>
    <mergeCell ref="AD199:AD200"/>
    <mergeCell ref="AE199:AE200"/>
    <mergeCell ref="AF199:AF200"/>
    <mergeCell ref="S199:S200"/>
    <mergeCell ref="T199:T200"/>
    <mergeCell ref="U199:U200"/>
    <mergeCell ref="V199:V200"/>
    <mergeCell ref="W199:W200"/>
    <mergeCell ref="X199:X200"/>
    <mergeCell ref="L199:L200"/>
    <mergeCell ref="M199:M200"/>
    <mergeCell ref="N199:N200"/>
    <mergeCell ref="O199:O200"/>
    <mergeCell ref="P199:P200"/>
    <mergeCell ref="Q199:Q200"/>
    <mergeCell ref="G199:G200"/>
    <mergeCell ref="D199:D200"/>
    <mergeCell ref="E199:E200"/>
    <mergeCell ref="I203:I204"/>
    <mergeCell ref="D203:D204"/>
    <mergeCell ref="G203:G204"/>
    <mergeCell ref="E203:E204"/>
    <mergeCell ref="Z201:Z202"/>
    <mergeCell ref="AC201:AC202"/>
    <mergeCell ref="AD201:AD202"/>
    <mergeCell ref="AE201:AE202"/>
    <mergeCell ref="AF201:AF202"/>
    <mergeCell ref="AG201:AG202"/>
    <mergeCell ref="T201:T202"/>
    <mergeCell ref="U201:U202"/>
    <mergeCell ref="V201:V202"/>
    <mergeCell ref="W201:W202"/>
    <mergeCell ref="X201:X202"/>
    <mergeCell ref="Y201:Y202"/>
    <mergeCell ref="M201:M202"/>
    <mergeCell ref="N201:N202"/>
    <mergeCell ref="O201:O202"/>
    <mergeCell ref="P201:P202"/>
    <mergeCell ref="Q201:Q202"/>
    <mergeCell ref="S201:S202"/>
    <mergeCell ref="AD203:AD204"/>
    <mergeCell ref="AE203:AE204"/>
    <mergeCell ref="AF203:AF204"/>
    <mergeCell ref="AG203:AG204"/>
    <mergeCell ref="G201:G202"/>
    <mergeCell ref="D201:D202"/>
    <mergeCell ref="E201:E202"/>
    <mergeCell ref="A205:A206"/>
    <mergeCell ref="B205:B206"/>
    <mergeCell ref="C205:C206"/>
    <mergeCell ref="F205:F206"/>
    <mergeCell ref="H205:H206"/>
    <mergeCell ref="I205:I206"/>
    <mergeCell ref="V203:V204"/>
    <mergeCell ref="W203:W204"/>
    <mergeCell ref="X203:X204"/>
    <mergeCell ref="Y203:Y204"/>
    <mergeCell ref="Z203:Z204"/>
    <mergeCell ref="AC203:AC204"/>
    <mergeCell ref="P203:P204"/>
    <mergeCell ref="Q203:Q204"/>
    <mergeCell ref="R203:R204"/>
    <mergeCell ref="S203:S204"/>
    <mergeCell ref="T203:T204"/>
    <mergeCell ref="U203:U204"/>
    <mergeCell ref="J203:J204"/>
    <mergeCell ref="K203:K204"/>
    <mergeCell ref="L203:L204"/>
    <mergeCell ref="M203:M204"/>
    <mergeCell ref="N203:N204"/>
    <mergeCell ref="O203:O204"/>
    <mergeCell ref="A203:A204"/>
    <mergeCell ref="B203:B204"/>
    <mergeCell ref="C203:C204"/>
    <mergeCell ref="F203:F204"/>
    <mergeCell ref="G205:G206"/>
    <mergeCell ref="D205:D206"/>
    <mergeCell ref="E205:E206"/>
    <mergeCell ref="H203:H204"/>
    <mergeCell ref="AD205:AD206"/>
    <mergeCell ref="AE205:AE206"/>
    <mergeCell ref="AF205:AF206"/>
    <mergeCell ref="AG205:AG206"/>
    <mergeCell ref="A207:A208"/>
    <mergeCell ref="B207:B208"/>
    <mergeCell ref="C207:C208"/>
    <mergeCell ref="F207:F208"/>
    <mergeCell ref="H207:H208"/>
    <mergeCell ref="I207:I208"/>
    <mergeCell ref="V205:V206"/>
    <mergeCell ref="W205:W206"/>
    <mergeCell ref="X205:X206"/>
    <mergeCell ref="Y205:Y206"/>
    <mergeCell ref="Z205:Z206"/>
    <mergeCell ref="AC205:AC206"/>
    <mergeCell ref="P205:P206"/>
    <mergeCell ref="Q205:Q206"/>
    <mergeCell ref="R205:R206"/>
    <mergeCell ref="S205:S206"/>
    <mergeCell ref="T205:T206"/>
    <mergeCell ref="U205:U206"/>
    <mergeCell ref="J205:J206"/>
    <mergeCell ref="K205:K206"/>
    <mergeCell ref="L205:L206"/>
    <mergeCell ref="M205:M206"/>
    <mergeCell ref="N205:N206"/>
    <mergeCell ref="O205:O206"/>
    <mergeCell ref="AD207:AD208"/>
    <mergeCell ref="AE207:AE208"/>
    <mergeCell ref="AF207:AF208"/>
    <mergeCell ref="AG207:AG208"/>
    <mergeCell ref="A209:A210"/>
    <mergeCell ref="B209:B210"/>
    <mergeCell ref="C209:C210"/>
    <mergeCell ref="F209:F210"/>
    <mergeCell ref="H209:H210"/>
    <mergeCell ref="I209:I210"/>
    <mergeCell ref="V207:V208"/>
    <mergeCell ref="W207:W208"/>
    <mergeCell ref="X207:X208"/>
    <mergeCell ref="Y207:Y208"/>
    <mergeCell ref="Z207:Z208"/>
    <mergeCell ref="AC207:AC208"/>
    <mergeCell ref="P207:P208"/>
    <mergeCell ref="Q207:Q208"/>
    <mergeCell ref="R207:R208"/>
    <mergeCell ref="S207:S208"/>
    <mergeCell ref="T207:T208"/>
    <mergeCell ref="U207:U208"/>
    <mergeCell ref="J207:J208"/>
    <mergeCell ref="K207:K208"/>
    <mergeCell ref="L207:L208"/>
    <mergeCell ref="M207:M208"/>
    <mergeCell ref="N207:N208"/>
    <mergeCell ref="O207:O208"/>
    <mergeCell ref="G207:G208"/>
    <mergeCell ref="D207:D208"/>
    <mergeCell ref="E207:E208"/>
    <mergeCell ref="E209:E210"/>
    <mergeCell ref="AE209:AE210"/>
    <mergeCell ref="AF209:AF210"/>
    <mergeCell ref="AG209:AG210"/>
    <mergeCell ref="A211:A212"/>
    <mergeCell ref="B211:B212"/>
    <mergeCell ref="C211:C212"/>
    <mergeCell ref="F211:F212"/>
    <mergeCell ref="H211:H212"/>
    <mergeCell ref="I211:I212"/>
    <mergeCell ref="J211:J212"/>
    <mergeCell ref="W209:W210"/>
    <mergeCell ref="X209:X210"/>
    <mergeCell ref="Y209:Y210"/>
    <mergeCell ref="Z209:Z210"/>
    <mergeCell ref="AC209:AC210"/>
    <mergeCell ref="AD209:AD210"/>
    <mergeCell ref="P209:P210"/>
    <mergeCell ref="Q209:Q210"/>
    <mergeCell ref="S209:S210"/>
    <mergeCell ref="T209:T210"/>
    <mergeCell ref="U209:U210"/>
    <mergeCell ref="V209:V210"/>
    <mergeCell ref="J209:J210"/>
    <mergeCell ref="K209:K210"/>
    <mergeCell ref="L209:L210"/>
    <mergeCell ref="M209:M210"/>
    <mergeCell ref="N209:N210"/>
    <mergeCell ref="O209:O210"/>
    <mergeCell ref="AF211:AF212"/>
    <mergeCell ref="AG211:AG212"/>
    <mergeCell ref="G209:G210"/>
    <mergeCell ref="D209:D210"/>
    <mergeCell ref="A213:A214"/>
    <mergeCell ref="B213:B214"/>
    <mergeCell ref="C213:C214"/>
    <mergeCell ref="F213:F214"/>
    <mergeCell ref="H213:H214"/>
    <mergeCell ref="I213:I214"/>
    <mergeCell ref="J213:J214"/>
    <mergeCell ref="K213:K214"/>
    <mergeCell ref="X211:X212"/>
    <mergeCell ref="Y211:Y212"/>
    <mergeCell ref="Z211:Z212"/>
    <mergeCell ref="AC211:AC212"/>
    <mergeCell ref="AD211:AD212"/>
    <mergeCell ref="AE211:AE212"/>
    <mergeCell ref="Q211:Q212"/>
    <mergeCell ref="S211:S212"/>
    <mergeCell ref="T211:T212"/>
    <mergeCell ref="U211:U212"/>
    <mergeCell ref="V211:V212"/>
    <mergeCell ref="W211:W212"/>
    <mergeCell ref="K211:K212"/>
    <mergeCell ref="L211:L212"/>
    <mergeCell ref="M211:M212"/>
    <mergeCell ref="N211:N212"/>
    <mergeCell ref="O211:O212"/>
    <mergeCell ref="P211:P212"/>
    <mergeCell ref="G211:G212"/>
    <mergeCell ref="D211:D212"/>
    <mergeCell ref="E211:E212"/>
    <mergeCell ref="AG213:AG214"/>
    <mergeCell ref="A215:A216"/>
    <mergeCell ref="B215:B216"/>
    <mergeCell ref="C215:C216"/>
    <mergeCell ref="F215:F216"/>
    <mergeCell ref="H215:H216"/>
    <mergeCell ref="I215:I216"/>
    <mergeCell ref="J215:J216"/>
    <mergeCell ref="K215:K216"/>
    <mergeCell ref="L215:L216"/>
    <mergeCell ref="Y213:Y214"/>
    <mergeCell ref="Z213:Z214"/>
    <mergeCell ref="AC213:AC214"/>
    <mergeCell ref="AD213:AD214"/>
    <mergeCell ref="AE213:AE214"/>
    <mergeCell ref="AF213:AF214"/>
    <mergeCell ref="S213:S214"/>
    <mergeCell ref="T213:T214"/>
    <mergeCell ref="U213:U214"/>
    <mergeCell ref="V213:V214"/>
    <mergeCell ref="W213:W214"/>
    <mergeCell ref="X213:X214"/>
    <mergeCell ref="L213:L214"/>
    <mergeCell ref="M213:M214"/>
    <mergeCell ref="N213:N214"/>
    <mergeCell ref="O213:O214"/>
    <mergeCell ref="P213:P214"/>
    <mergeCell ref="Q213:Q214"/>
    <mergeCell ref="AG215:AG216"/>
    <mergeCell ref="G213:G214"/>
    <mergeCell ref="D213:D214"/>
    <mergeCell ref="E213:E214"/>
    <mergeCell ref="A217:A218"/>
    <mergeCell ref="B217:B218"/>
    <mergeCell ref="C217:C218"/>
    <mergeCell ref="F217:F218"/>
    <mergeCell ref="H217:H218"/>
    <mergeCell ref="I217:I218"/>
    <mergeCell ref="J217:J218"/>
    <mergeCell ref="K217:K218"/>
    <mergeCell ref="L217:L218"/>
    <mergeCell ref="Y215:Y216"/>
    <mergeCell ref="Z215:Z216"/>
    <mergeCell ref="AC215:AC216"/>
    <mergeCell ref="AD215:AD216"/>
    <mergeCell ref="AE215:AE216"/>
    <mergeCell ref="AF215:AF216"/>
    <mergeCell ref="S215:S216"/>
    <mergeCell ref="T215:T216"/>
    <mergeCell ref="U215:U216"/>
    <mergeCell ref="V215:V216"/>
    <mergeCell ref="W215:W216"/>
    <mergeCell ref="X215:X216"/>
    <mergeCell ref="M215:M216"/>
    <mergeCell ref="N215:N216"/>
    <mergeCell ref="O215:O216"/>
    <mergeCell ref="P215:P216"/>
    <mergeCell ref="Q215:Q216"/>
    <mergeCell ref="R215:R216"/>
    <mergeCell ref="G215:G216"/>
    <mergeCell ref="D215:D216"/>
    <mergeCell ref="E215:E216"/>
    <mergeCell ref="AG217:AG218"/>
    <mergeCell ref="A219:A220"/>
    <mergeCell ref="B219:B220"/>
    <mergeCell ref="C219:C220"/>
    <mergeCell ref="F219:F220"/>
    <mergeCell ref="H219:H220"/>
    <mergeCell ref="I219:I220"/>
    <mergeCell ref="J219:J220"/>
    <mergeCell ref="K219:K220"/>
    <mergeCell ref="L219:L220"/>
    <mergeCell ref="Y217:Y218"/>
    <mergeCell ref="Z217:Z218"/>
    <mergeCell ref="AC217:AC218"/>
    <mergeCell ref="AD217:AD218"/>
    <mergeCell ref="AE217:AE218"/>
    <mergeCell ref="AF217:AF218"/>
    <mergeCell ref="S217:S218"/>
    <mergeCell ref="T217:T218"/>
    <mergeCell ref="U217:U218"/>
    <mergeCell ref="V217:V218"/>
    <mergeCell ref="W217:W218"/>
    <mergeCell ref="X217:X218"/>
    <mergeCell ref="M217:M218"/>
    <mergeCell ref="N217:N218"/>
    <mergeCell ref="O217:O218"/>
    <mergeCell ref="P217:P218"/>
    <mergeCell ref="Q217:Q218"/>
    <mergeCell ref="R217:R218"/>
    <mergeCell ref="AG219:AG220"/>
    <mergeCell ref="G217:G218"/>
    <mergeCell ref="D217:D218"/>
    <mergeCell ref="E217:E218"/>
    <mergeCell ref="B221:B222"/>
    <mergeCell ref="C221:C222"/>
    <mergeCell ref="F221:F222"/>
    <mergeCell ref="H221:H222"/>
    <mergeCell ref="I221:I222"/>
    <mergeCell ref="J221:J222"/>
    <mergeCell ref="K221:K222"/>
    <mergeCell ref="L221:L222"/>
    <mergeCell ref="Y219:Y220"/>
    <mergeCell ref="Z219:Z220"/>
    <mergeCell ref="AC219:AC220"/>
    <mergeCell ref="AD219:AD220"/>
    <mergeCell ref="AE219:AE220"/>
    <mergeCell ref="AF219:AF220"/>
    <mergeCell ref="S219:S220"/>
    <mergeCell ref="T219:T220"/>
    <mergeCell ref="U219:U220"/>
    <mergeCell ref="V219:V220"/>
    <mergeCell ref="W219:W220"/>
    <mergeCell ref="X219:X220"/>
    <mergeCell ref="M219:M220"/>
    <mergeCell ref="N219:N220"/>
    <mergeCell ref="O219:O220"/>
    <mergeCell ref="P219:P220"/>
    <mergeCell ref="Q219:Q220"/>
    <mergeCell ref="R219:R220"/>
    <mergeCell ref="D219:D220"/>
    <mergeCell ref="E219:E220"/>
    <mergeCell ref="E221:E222"/>
    <mergeCell ref="A223:A224"/>
    <mergeCell ref="B223:B224"/>
    <mergeCell ref="C223:C224"/>
    <mergeCell ref="F223:F224"/>
    <mergeCell ref="H223:H224"/>
    <mergeCell ref="I223:I224"/>
    <mergeCell ref="G223:G224"/>
    <mergeCell ref="D223:D224"/>
    <mergeCell ref="E223:E224"/>
    <mergeCell ref="Z221:Z222"/>
    <mergeCell ref="AC221:AC222"/>
    <mergeCell ref="AD221:AD222"/>
    <mergeCell ref="AE221:AE222"/>
    <mergeCell ref="AF221:AF222"/>
    <mergeCell ref="AG221:AG222"/>
    <mergeCell ref="T221:T222"/>
    <mergeCell ref="U221:U222"/>
    <mergeCell ref="V221:V222"/>
    <mergeCell ref="W221:W222"/>
    <mergeCell ref="X221:X222"/>
    <mergeCell ref="Y221:Y222"/>
    <mergeCell ref="M221:M222"/>
    <mergeCell ref="N221:N222"/>
    <mergeCell ref="O221:O222"/>
    <mergeCell ref="P221:P222"/>
    <mergeCell ref="Q221:Q222"/>
    <mergeCell ref="S221:S222"/>
    <mergeCell ref="AD223:AD224"/>
    <mergeCell ref="AE223:AE224"/>
    <mergeCell ref="AF223:AF224"/>
    <mergeCell ref="AG223:AG224"/>
    <mergeCell ref="A221:A222"/>
    <mergeCell ref="I225:I226"/>
    <mergeCell ref="V223:V224"/>
    <mergeCell ref="W223:W224"/>
    <mergeCell ref="X223:X224"/>
    <mergeCell ref="Y223:Y224"/>
    <mergeCell ref="Z223:Z224"/>
    <mergeCell ref="AC223:AC224"/>
    <mergeCell ref="P223:P224"/>
    <mergeCell ref="Q223:Q224"/>
    <mergeCell ref="R223:R224"/>
    <mergeCell ref="S223:S224"/>
    <mergeCell ref="T223:T224"/>
    <mergeCell ref="U223:U224"/>
    <mergeCell ref="J223:J224"/>
    <mergeCell ref="K223:K224"/>
    <mergeCell ref="L223:L224"/>
    <mergeCell ref="M223:M224"/>
    <mergeCell ref="N223:N224"/>
    <mergeCell ref="O223:O224"/>
    <mergeCell ref="AF225:AF226"/>
    <mergeCell ref="AG225:AG226"/>
    <mergeCell ref="A227:A228"/>
    <mergeCell ref="B227:B228"/>
    <mergeCell ref="C227:C228"/>
    <mergeCell ref="F227:F228"/>
    <mergeCell ref="H227:H228"/>
    <mergeCell ref="I227:I228"/>
    <mergeCell ref="J227:J228"/>
    <mergeCell ref="W225:W226"/>
    <mergeCell ref="X225:X226"/>
    <mergeCell ref="Y225:Y226"/>
    <mergeCell ref="Z225:Z226"/>
    <mergeCell ref="AC225:AC226"/>
    <mergeCell ref="AD225:AD226"/>
    <mergeCell ref="P225:P226"/>
    <mergeCell ref="Q225:Q226"/>
    <mergeCell ref="S225:S226"/>
    <mergeCell ref="T225:T226"/>
    <mergeCell ref="U225:U226"/>
    <mergeCell ref="V225:V226"/>
    <mergeCell ref="J225:J226"/>
    <mergeCell ref="K225:K226"/>
    <mergeCell ref="L225:L226"/>
    <mergeCell ref="M225:M226"/>
    <mergeCell ref="N225:N226"/>
    <mergeCell ref="O225:O226"/>
    <mergeCell ref="E227:E228"/>
    <mergeCell ref="A225:A226"/>
    <mergeCell ref="B225:B226"/>
    <mergeCell ref="C225:C226"/>
    <mergeCell ref="F225:F226"/>
    <mergeCell ref="A233:A234"/>
    <mergeCell ref="B233:B234"/>
    <mergeCell ref="C233:C234"/>
    <mergeCell ref="F233:F234"/>
    <mergeCell ref="H233:H234"/>
    <mergeCell ref="I233:I234"/>
    <mergeCell ref="G233:G234"/>
    <mergeCell ref="A231:A232"/>
    <mergeCell ref="B231:B232"/>
    <mergeCell ref="C231:C232"/>
    <mergeCell ref="F231:F232"/>
    <mergeCell ref="H231:H232"/>
    <mergeCell ref="I231:I232"/>
    <mergeCell ref="J231:J232"/>
    <mergeCell ref="K231:K232"/>
    <mergeCell ref="L231:L232"/>
    <mergeCell ref="Y229:Y230"/>
    <mergeCell ref="S229:S230"/>
    <mergeCell ref="T229:T230"/>
    <mergeCell ref="U229:U230"/>
    <mergeCell ref="V229:V230"/>
    <mergeCell ref="W229:W230"/>
    <mergeCell ref="X229:X230"/>
    <mergeCell ref="L229:L230"/>
    <mergeCell ref="M229:M230"/>
    <mergeCell ref="N229:N230"/>
    <mergeCell ref="O229:O230"/>
    <mergeCell ref="P229:P230"/>
    <mergeCell ref="Q229:Q230"/>
    <mergeCell ref="A229:A230"/>
    <mergeCell ref="B229:B230"/>
    <mergeCell ref="C229:C230"/>
    <mergeCell ref="F235:F236"/>
    <mergeCell ref="H235:H236"/>
    <mergeCell ref="I235:I236"/>
    <mergeCell ref="J235:J236"/>
    <mergeCell ref="W233:W234"/>
    <mergeCell ref="X233:X234"/>
    <mergeCell ref="Y233:Y234"/>
    <mergeCell ref="Z233:Z234"/>
    <mergeCell ref="AC233:AC234"/>
    <mergeCell ref="AD233:AD234"/>
    <mergeCell ref="P233:P234"/>
    <mergeCell ref="Q233:Q234"/>
    <mergeCell ref="S233:S234"/>
    <mergeCell ref="T233:T234"/>
    <mergeCell ref="U233:U234"/>
    <mergeCell ref="V233:V234"/>
    <mergeCell ref="J233:J234"/>
    <mergeCell ref="K233:K234"/>
    <mergeCell ref="L233:L234"/>
    <mergeCell ref="M233:M234"/>
    <mergeCell ref="N233:N234"/>
    <mergeCell ref="O233:O234"/>
    <mergeCell ref="G4:G5"/>
    <mergeCell ref="D4:D5"/>
    <mergeCell ref="X235:X236"/>
    <mergeCell ref="Y235:Y236"/>
    <mergeCell ref="Q235:Q236"/>
    <mergeCell ref="S235:S236"/>
    <mergeCell ref="T235:T236"/>
    <mergeCell ref="U235:U236"/>
    <mergeCell ref="G8:G9"/>
    <mergeCell ref="D8:D9"/>
    <mergeCell ref="V235:V236"/>
    <mergeCell ref="W235:W236"/>
    <mergeCell ref="K235:K236"/>
    <mergeCell ref="L235:L236"/>
    <mergeCell ref="M235:M236"/>
    <mergeCell ref="N235:N236"/>
    <mergeCell ref="O235:O236"/>
    <mergeCell ref="P235:P236"/>
    <mergeCell ref="D233:D234"/>
    <mergeCell ref="T231:T232"/>
    <mergeCell ref="U231:U232"/>
    <mergeCell ref="V231:V232"/>
    <mergeCell ref="W231:W232"/>
    <mergeCell ref="X231:X232"/>
    <mergeCell ref="Y231:Y232"/>
    <mergeCell ref="M231:M232"/>
    <mergeCell ref="N231:N232"/>
    <mergeCell ref="O231:O232"/>
    <mergeCell ref="P231:P232"/>
    <mergeCell ref="Q231:Q232"/>
    <mergeCell ref="S231:S232"/>
    <mergeCell ref="I229:I230"/>
    <mergeCell ref="AF233:AF234"/>
    <mergeCell ref="AG233:AG234"/>
    <mergeCell ref="Z231:Z232"/>
    <mergeCell ref="AC231:AC232"/>
    <mergeCell ref="AD231:AD232"/>
    <mergeCell ref="AE231:AE232"/>
    <mergeCell ref="AF231:AF232"/>
    <mergeCell ref="AG231:AG232"/>
    <mergeCell ref="AG229:AG230"/>
    <mergeCell ref="AF227:AF228"/>
    <mergeCell ref="AG227:AG228"/>
    <mergeCell ref="E27:E28"/>
    <mergeCell ref="E29:E30"/>
    <mergeCell ref="G38:G39"/>
    <mergeCell ref="D38:D39"/>
    <mergeCell ref="G35:G36"/>
    <mergeCell ref="D35:D36"/>
    <mergeCell ref="J229:J230"/>
    <mergeCell ref="K229:K230"/>
    <mergeCell ref="Z229:Z230"/>
    <mergeCell ref="AC229:AC230"/>
    <mergeCell ref="AD229:AD230"/>
    <mergeCell ref="AE229:AE230"/>
    <mergeCell ref="AF229:AF230"/>
    <mergeCell ref="F229:F230"/>
    <mergeCell ref="H229:H230"/>
    <mergeCell ref="L227:L228"/>
    <mergeCell ref="M227:M228"/>
    <mergeCell ref="N227:N228"/>
    <mergeCell ref="O227:O228"/>
    <mergeCell ref="P227:P228"/>
    <mergeCell ref="AE225:AE226"/>
    <mergeCell ref="E18:E19"/>
    <mergeCell ref="E22:E24"/>
    <mergeCell ref="G29:G30"/>
    <mergeCell ref="D29:D30"/>
    <mergeCell ref="X227:X228"/>
    <mergeCell ref="Y227:Y228"/>
    <mergeCell ref="Z227:Z228"/>
    <mergeCell ref="AC227:AC228"/>
    <mergeCell ref="AD227:AD228"/>
    <mergeCell ref="AE227:AE228"/>
    <mergeCell ref="G51:G53"/>
    <mergeCell ref="D51:D53"/>
    <mergeCell ref="G49:G50"/>
    <mergeCell ref="D49:D50"/>
    <mergeCell ref="E49:E50"/>
    <mergeCell ref="E51:E53"/>
    <mergeCell ref="E55:E56"/>
    <mergeCell ref="E38:E39"/>
    <mergeCell ref="G47:G48"/>
    <mergeCell ref="D47:D48"/>
    <mergeCell ref="G45:G46"/>
    <mergeCell ref="D45:D46"/>
    <mergeCell ref="G43:G44"/>
    <mergeCell ref="D43:D44"/>
    <mergeCell ref="E43:E44"/>
    <mergeCell ref="E45:E46"/>
    <mergeCell ref="E47:E48"/>
    <mergeCell ref="G18:G19"/>
    <mergeCell ref="D18:D19"/>
    <mergeCell ref="F51:F53"/>
    <mergeCell ref="E31:E32"/>
    <mergeCell ref="H225:H226"/>
    <mergeCell ref="G237:G238"/>
    <mergeCell ref="H237:H238"/>
    <mergeCell ref="I237:I238"/>
    <mergeCell ref="J237:J238"/>
    <mergeCell ref="K237:K238"/>
    <mergeCell ref="L237:L238"/>
    <mergeCell ref="A237:A238"/>
    <mergeCell ref="B237:B238"/>
    <mergeCell ref="C237:C238"/>
    <mergeCell ref="D237:D238"/>
    <mergeCell ref="E237:E238"/>
    <mergeCell ref="F237:F238"/>
    <mergeCell ref="D80:D81"/>
    <mergeCell ref="D110:D112"/>
    <mergeCell ref="D183:D184"/>
    <mergeCell ref="G235:G236"/>
    <mergeCell ref="D235:D236"/>
    <mergeCell ref="G231:G232"/>
    <mergeCell ref="D231:D232"/>
    <mergeCell ref="G229:G230"/>
    <mergeCell ref="D229:D230"/>
    <mergeCell ref="G227:G228"/>
    <mergeCell ref="D227:D228"/>
    <mergeCell ref="G225:G226"/>
    <mergeCell ref="D225:D226"/>
    <mergeCell ref="G221:G222"/>
    <mergeCell ref="D221:D222"/>
    <mergeCell ref="G219:G220"/>
    <mergeCell ref="E225:E226"/>
    <mergeCell ref="A235:A236"/>
    <mergeCell ref="B235:B236"/>
    <mergeCell ref="C235:C236"/>
    <mergeCell ref="AF235:AF236"/>
    <mergeCell ref="AG235:AG236"/>
    <mergeCell ref="Z235:Z236"/>
    <mergeCell ref="AC235:AC236"/>
    <mergeCell ref="AD235:AD236"/>
    <mergeCell ref="AE235:AE236"/>
    <mergeCell ref="Q227:Q228"/>
    <mergeCell ref="S227:S228"/>
    <mergeCell ref="T227:T228"/>
    <mergeCell ref="U227:U228"/>
    <mergeCell ref="V227:V228"/>
    <mergeCell ref="W227:W228"/>
    <mergeCell ref="K227:K228"/>
    <mergeCell ref="Z237:Z238"/>
    <mergeCell ref="AC237:AC238"/>
    <mergeCell ref="AD237:AD238"/>
    <mergeCell ref="AE237:AE238"/>
    <mergeCell ref="AF237:AF238"/>
    <mergeCell ref="AG237:AG238"/>
    <mergeCell ref="T237:T238"/>
    <mergeCell ref="U237:U238"/>
    <mergeCell ref="V237:V238"/>
    <mergeCell ref="W237:W238"/>
    <mergeCell ref="X237:X238"/>
    <mergeCell ref="Y237:Y238"/>
    <mergeCell ref="M237:M238"/>
    <mergeCell ref="N237:N238"/>
    <mergeCell ref="O237:O238"/>
    <mergeCell ref="P237:P238"/>
    <mergeCell ref="Q237:Q238"/>
    <mergeCell ref="S237:S238"/>
    <mergeCell ref="AE233:AE234"/>
  </mergeCells>
  <hyperlinks>
    <hyperlink ref="AE125" r:id="rId1" display="mailto:incoming@hcu-hamburg.de" xr:uid="{00000000-0004-0000-0500-000000000000}"/>
  </hyperlinks>
  <pageMargins left="0.7" right="0.7" top="0.75" bottom="0.75" header="0.3" footer="0.3"/>
  <pageSetup paperSize="9"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gico</dc:creator>
  <cp:keywords/>
  <dc:description/>
  <cp:lastModifiedBy>EMILIE ROUSSEL</cp:lastModifiedBy>
  <cp:revision/>
  <dcterms:created xsi:type="dcterms:W3CDTF">2014-01-23T11:15:12Z</dcterms:created>
  <dcterms:modified xsi:type="dcterms:W3CDTF">2026-09-23T09:25:29Z</dcterms:modified>
  <cp:category/>
  <cp:contentStatus/>
</cp:coreProperties>
</file>